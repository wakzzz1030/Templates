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randolp.agaton\Desktop\macro\"/>
    </mc:Choice>
  </mc:AlternateContent>
  <xr:revisionPtr revIDLastSave="0" documentId="13_ncr:1_{B6BD5251-C790-43C2-A26B-A128E8E06770}" xr6:coauthVersionLast="47" xr6:coauthVersionMax="47" xr10:uidLastSave="{00000000-0000-0000-0000-000000000000}"/>
  <bookViews>
    <workbookView xWindow="-120" yWindow="-120" windowWidth="29040" windowHeight="15720" activeTab="1" xr2:uid="{360CCF52-4108-4E16-971E-3BC62F8DB2D7}"/>
  </bookViews>
  <sheets>
    <sheet name="TestData" sheetId="13" r:id="rId1"/>
    <sheet name="Script" sheetId="1" r:id="rId2"/>
    <sheet name="get data" sheetId="3" state="hidden" r:id="rId3"/>
    <sheet name="get data2" sheetId="4" state="hidden" r:id="rId4"/>
    <sheet name="backup" sheetId="14" state="hidden" r:id="rId5"/>
    <sheet name="data" sheetId="6" state="hidden" r:id="rId6"/>
  </sheets>
  <functionGroups builtInGroupCount="19"/>
  <externalReferences>
    <externalReference r:id="rId7"/>
    <externalReference r:id="rId8"/>
    <externalReference r:id="rId9"/>
    <externalReference r:id="rId10"/>
    <externalReference r:id="rId11"/>
    <externalReference r:id="rId12"/>
    <externalReference r:id="rId13"/>
  </externalReferences>
  <definedNames>
    <definedName name="_16.11.2015" localSheetId="4">[1]TS6!#REF!</definedName>
    <definedName name="_16.11.2015" localSheetId="0">[1]TS6!#REF!</definedName>
    <definedName name="_16.11.2015">[1]TS6!#REF!</definedName>
    <definedName name="_C500000" localSheetId="0">#REF!</definedName>
    <definedName name="_C500000">#REF!</definedName>
    <definedName name="_xlnm._FilterDatabase" localSheetId="0" hidden="1">TestData!#REF!</definedName>
    <definedName name="A" localSheetId="0">#REF!</definedName>
    <definedName name="A">#REF!</definedName>
    <definedName name="accnt" localSheetId="0">#REF!</definedName>
    <definedName name="accnt">#REF!</definedName>
    <definedName name="ACN_SupplierLocation_Query" localSheetId="0">#REF!</definedName>
    <definedName name="ACN_SupplierLocation_Query">#REF!</definedName>
    <definedName name="bktxt" localSheetId="0">#REF!</definedName>
    <definedName name="bktxt">#REF!</definedName>
    <definedName name="bldat" localSheetId="0">#REF!</definedName>
    <definedName name="bldat">#REF!</definedName>
    <definedName name="budat" localSheetId="0">#REF!</definedName>
    <definedName name="budat">#REF!</definedName>
    <definedName name="burks" localSheetId="0">#REF!</definedName>
    <definedName name="burks">#REF!</definedName>
    <definedName name="Countries">[2]REFERENCE!$M$3:$M$250</definedName>
    <definedName name="Country">'[3]Sheet 3'!$D$1:$D$248</definedName>
    <definedName name="dates" localSheetId="0">#REF!</definedName>
    <definedName name="dates">#REF!</definedName>
    <definedName name="Groups_1">[4]APPENDIX!$B$7:$B$10</definedName>
    <definedName name="Material_G1">[5]REFERENCE!$I$3:$I$129</definedName>
    <definedName name="mwskz" localSheetId="0">#REF!</definedName>
    <definedName name="mwskz">#REF!</definedName>
    <definedName name="Outlier" localSheetId="4">OFFSET([6]Reference!$B$3,0,0,COUNTA([6]Reference!$B$3:$B$100),1)</definedName>
    <definedName name="Outlier">OFFSET([6]Reference!$B$3,0,0,COUNTA([6]Reference!$B$3:$B$100),1)</definedName>
    <definedName name="Requisitions" localSheetId="0">#REF!</definedName>
    <definedName name="Requisitions">#REF!</definedName>
    <definedName name="resource">[7]xlat!$A$1:$A$4</definedName>
    <definedName name="rSLA1" localSheetId="4">[6]WR!$L$7</definedName>
    <definedName name="rSLA1">[6]WR!$L$7</definedName>
    <definedName name="rSLA2" localSheetId="4">[6]WR!$L$8</definedName>
    <definedName name="rSLA2">[6]WR!$L$8</definedName>
    <definedName name="rSLA3" localSheetId="4">[6]WR!$L$9</definedName>
    <definedName name="rSLA3">[6]WR!$L$9</definedName>
    <definedName name="rSLA4" localSheetId="4">[6]WR!$L$10</definedName>
    <definedName name="rSLA4">[6]WR!$L$10</definedName>
    <definedName name="rSLA5" localSheetId="4">[6]WR!$L$11</definedName>
    <definedName name="rSLA5">[6]WR!$L$11</definedName>
    <definedName name="s" localSheetId="0">#REF!</definedName>
    <definedName name="s">#REF!</definedName>
    <definedName name="Severity" localSheetId="4">OFFSET([6]Reference!$C$3,0,0,COUNTA([6]Reference!$C$3:$C$100),1)</definedName>
    <definedName name="Severity">OFFSET([6]Reference!$C$3,0,0,COUNTA([6]Reference!$C$3:$C$100),1)</definedName>
    <definedName name="sfsdg" localSheetId="0">#REF!</definedName>
    <definedName name="sfsdg">#REF!</definedName>
    <definedName name="sgtxt" localSheetId="0">#REF!</definedName>
    <definedName name="sgtxt">#REF!</definedName>
    <definedName name="SIRS_N_2" localSheetId="0">#REF!</definedName>
    <definedName name="SIRS_N_2">#REF!</definedName>
    <definedName name="Stage" localSheetId="4">OFFSET([6]Reference!$F$3,0,0,COUNTA([6]Reference!$F$3:$F$100),1)</definedName>
    <definedName name="Stage">OFFSET([6]Reference!$F$3,0,0,COUNTA([6]Reference!$F$3:$F$100),1)</definedName>
    <definedName name="t" localSheetId="0">#REF!</definedName>
    <definedName name="t">#REF!</definedName>
    <definedName name="Task" localSheetId="4">[6]Reference!$F$2</definedName>
    <definedName name="Task">[6]Reference!$F$2</definedName>
    <definedName name="vlookup">#REF!</definedName>
    <definedName name="wmwst" localSheetId="0">#REF!</definedName>
    <definedName name="wmwst">#REF!</definedName>
    <definedName name="wpWE" localSheetId="4">[6]Workplan!$B$3</definedName>
    <definedName name="wpWE">[6]Workplan!$B$3</definedName>
    <definedName name="wrbtr" localSheetId="0">#REF!</definedName>
    <definedName name="wrbtr">#REF!</definedName>
    <definedName name="WRC" localSheetId="4">OFFSET([6]Reference!$D$3,0,0,COUNTA([6]Reference!$D$3:$D$100),1)</definedName>
    <definedName name="WRC">OFFSET([6]Reference!$D$3,0,0,COUNTA([6]Reference!$D$3:$D$100),1)</definedName>
    <definedName name="wrWE" localSheetId="4">[6]WR!$B$3</definedName>
    <definedName name="wrWE">[6]WR!$B$3</definedName>
    <definedName name="xblnr" localSheetId="0">#REF!</definedName>
    <definedName name="xblnr">#REF!</definedName>
    <definedName name="xlogs" localSheetId="0">#REF!</definedName>
    <definedName name="xlogs">#REF!</definedName>
    <definedName name="yesno">[2]Instruction!$H$1:$H$2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6" i="3" l="1"/>
  <c r="C16" i="3"/>
  <c r="D16" i="3"/>
  <c r="F16" i="3"/>
  <c r="B17" i="3"/>
  <c r="B18" i="3"/>
  <c r="B19" i="3"/>
  <c r="C17" i="3"/>
  <c r="D17" i="3"/>
  <c r="F17" i="3"/>
  <c r="F18" i="3"/>
  <c r="F19" i="3"/>
  <c r="C18" i="3"/>
  <c r="D18" i="3"/>
  <c r="C19" i="3"/>
  <c r="D19" i="3"/>
  <c r="F15" i="3"/>
  <c r="F14" i="3"/>
  <c r="F13" i="3"/>
  <c r="F12" i="3"/>
  <c r="F11" i="3"/>
  <c r="F10" i="3"/>
  <c r="F9" i="3"/>
  <c r="F8" i="3"/>
  <c r="F7" i="3"/>
  <c r="F6" i="3"/>
  <c r="F5" i="3"/>
  <c r="F4" i="3"/>
  <c r="F3" i="3"/>
  <c r="F2" i="3"/>
  <c r="B2" i="3"/>
  <c r="B3" i="3"/>
  <c r="B4" i="3"/>
  <c r="B5" i="3"/>
  <c r="B6" i="3"/>
  <c r="B7" i="3"/>
  <c r="B8" i="3"/>
  <c r="B9" i="3"/>
  <c r="B10" i="3"/>
  <c r="B11" i="3"/>
  <c r="B12" i="3"/>
  <c r="B13" i="3"/>
  <c r="B14" i="3"/>
  <c r="B15" i="3"/>
  <c r="F1" i="3"/>
  <c r="C1" i="3"/>
  <c r="D1" i="3"/>
  <c r="C2" i="3"/>
  <c r="C3" i="3"/>
  <c r="D2" i="3"/>
  <c r="D3" i="3"/>
  <c r="C4" i="3"/>
  <c r="C5" i="3"/>
  <c r="D4" i="3"/>
  <c r="D5" i="3"/>
  <c r="C6" i="3"/>
  <c r="C7" i="3"/>
  <c r="D6" i="3"/>
  <c r="D7" i="3"/>
  <c r="C8" i="3"/>
  <c r="C9" i="3"/>
  <c r="D8" i="3"/>
  <c r="D9" i="3"/>
  <c r="C10" i="3"/>
  <c r="C11" i="3"/>
  <c r="D10" i="3"/>
  <c r="D11" i="3"/>
  <c r="C12" i="3"/>
  <c r="C13" i="3"/>
  <c r="D12" i="3"/>
  <c r="D13" i="3"/>
  <c r="C14" i="3"/>
  <c r="C15" i="3"/>
  <c r="D15" i="3"/>
  <c r="D14" i="3"/>
  <c r="E19" i="14"/>
  <c r="F19" i="14"/>
  <c r="G19" i="14"/>
  <c r="H19" i="14"/>
  <c r="I19" i="14"/>
  <c r="J19" i="14"/>
  <c r="K19" i="14"/>
  <c r="L19" i="14"/>
  <c r="M19" i="14"/>
  <c r="N19" i="14"/>
  <c r="O19" i="14"/>
  <c r="P19" i="14"/>
  <c r="Q19" i="14"/>
  <c r="R19" i="14"/>
  <c r="S19" i="14"/>
  <c r="T19" i="14"/>
  <c r="U19" i="14"/>
  <c r="V19" i="14"/>
  <c r="W19" i="14"/>
  <c r="X19" i="14"/>
  <c r="Y19" i="14"/>
  <c r="Z19" i="14"/>
  <c r="AA19" i="14"/>
  <c r="AB19" i="14"/>
  <c r="AC19" i="14"/>
  <c r="AD19" i="14"/>
  <c r="AE19" i="14"/>
  <c r="AF19" i="14"/>
  <c r="AG19" i="14"/>
  <c r="AH19" i="14"/>
  <c r="AI19" i="14"/>
  <c r="AJ19" i="14"/>
  <c r="AK19" i="14"/>
  <c r="AL19" i="14"/>
  <c r="AM19" i="14"/>
  <c r="AN19" i="14"/>
  <c r="AO19" i="14"/>
  <c r="AP19" i="14"/>
  <c r="AQ19" i="14"/>
  <c r="AR19" i="14"/>
  <c r="AS19" i="14"/>
  <c r="AT19" i="14"/>
  <c r="AU19" i="14"/>
  <c r="AV19" i="14"/>
  <c r="AW19" i="14"/>
  <c r="AX19" i="14"/>
  <c r="AY19" i="14"/>
  <c r="AZ19" i="14"/>
  <c r="BA19" i="14"/>
  <c r="BB19" i="14"/>
  <c r="BC19" i="14"/>
  <c r="BD19" i="14"/>
  <c r="BE19" i="14"/>
  <c r="BF19" i="14"/>
  <c r="BG19"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james.d.baclig</author>
  </authors>
  <commentList>
    <comment ref="L1" authorId="0" shapeId="0" xr:uid="{FDF5A900-89DD-4D9C-AE7F-344065292A46}">
      <text>
        <r>
          <rPr>
            <b/>
            <sz val="9"/>
            <color indexed="81"/>
            <rFont val="Tahoma"/>
            <family val="2"/>
          </rPr>
          <t>james.d.baclig:</t>
        </r>
        <r>
          <rPr>
            <sz val="9"/>
            <color indexed="81"/>
            <rFont val="Tahoma"/>
            <family val="2"/>
          </rPr>
          <t xml:space="preserve">
DO NOT populate any value on this column. </t>
        </r>
      </text>
    </comment>
    <comment ref="B2" authorId="0" shapeId="0" xr:uid="{AACF9F2C-DDEE-4319-9DBA-402E9B40231C}">
      <text>
        <r>
          <rPr>
            <b/>
            <sz val="9"/>
            <color indexed="81"/>
            <rFont val="Tahoma"/>
            <family val="2"/>
          </rPr>
          <t xml:space="preserve">james.d.baclig
</t>
        </r>
        <r>
          <rPr>
            <sz val="9"/>
            <color indexed="81"/>
            <rFont val="Tahoma"/>
            <family val="2"/>
          </rPr>
          <t>Ideal date for this field is current day (CT)</t>
        </r>
      </text>
    </comment>
    <comment ref="D2" authorId="0" shapeId="0" xr:uid="{C41465A4-A9C8-4011-BCA0-BD55E45B3A35}">
      <text>
        <r>
          <rPr>
            <b/>
            <sz val="9"/>
            <color indexed="81"/>
            <rFont val="Tahoma"/>
            <family val="2"/>
          </rPr>
          <t>james.d.baclig:</t>
        </r>
        <r>
          <rPr>
            <sz val="9"/>
            <color indexed="81"/>
            <rFont val="Tahoma"/>
            <family val="2"/>
          </rPr>
          <t xml:space="preserve">
It is advisable to use current date here unless current dates period is closed for posting</t>
        </r>
      </text>
    </comment>
    <comment ref="E2" authorId="0" shapeId="0" xr:uid="{04461463-89B1-4D23-A67C-3777D679E574}">
      <text>
        <r>
          <rPr>
            <b/>
            <sz val="9"/>
            <color indexed="81"/>
            <rFont val="Tahoma"/>
            <family val="2"/>
          </rPr>
          <t>james.d.baclig:</t>
        </r>
        <r>
          <rPr>
            <sz val="9"/>
            <color indexed="81"/>
            <rFont val="Tahoma"/>
            <family val="2"/>
          </rPr>
          <t xml:space="preserve">
Always populate current date on this field/column</t>
        </r>
      </text>
    </comment>
    <comment ref="F2" authorId="0" shapeId="0" xr:uid="{AD2BBCBD-E1F0-446B-9843-57C0467244F1}">
      <text>
        <r>
          <rPr>
            <b/>
            <sz val="9"/>
            <color indexed="81"/>
            <rFont val="Tahoma"/>
            <family val="2"/>
          </rPr>
          <t>james.d.baclig:</t>
        </r>
        <r>
          <rPr>
            <sz val="9"/>
            <color indexed="81"/>
            <rFont val="Tahoma"/>
            <family val="2"/>
          </rPr>
          <t xml:space="preserve">
Always populate next working day for this field/column</t>
        </r>
      </text>
    </comment>
    <comment ref="H2" authorId="0" shapeId="0" xr:uid="{D1CABB18-51BB-492D-A375-CE8E9985D9F0}">
      <text>
        <r>
          <rPr>
            <b/>
            <sz val="9"/>
            <color indexed="81"/>
            <rFont val="Tahoma"/>
            <family val="2"/>
          </rPr>
          <t>james.d.baclig:</t>
        </r>
        <r>
          <rPr>
            <sz val="9"/>
            <color indexed="81"/>
            <rFont val="Tahoma"/>
            <family val="2"/>
          </rPr>
          <t xml:space="preserve">
You can populate multiple payment methods here (i.e. ACDIFM)</t>
        </r>
      </text>
    </comment>
    <comment ref="J2" authorId="0" shapeId="0" xr:uid="{3466BDA6-3716-46DB-B17E-64B63B199E4A}">
      <text>
        <r>
          <rPr>
            <b/>
            <sz val="9"/>
            <color indexed="81"/>
            <rFont val="Tahoma"/>
            <family val="2"/>
          </rPr>
          <t>james.d.baclig:</t>
        </r>
        <r>
          <rPr>
            <sz val="9"/>
            <color indexed="81"/>
            <rFont val="Tahoma"/>
            <family val="2"/>
          </rPr>
          <t xml:space="preserve">
Required only for Argentina, Korea, Taiwan, &amp; Thailand</t>
        </r>
      </text>
    </comment>
    <comment ref="K2" authorId="0" shapeId="0" xr:uid="{F7100DE9-53EB-4266-BF67-F3DAB9741ADF}">
      <text>
        <r>
          <rPr>
            <b/>
            <sz val="9"/>
            <color indexed="81"/>
            <rFont val="Tahoma"/>
            <family val="2"/>
          </rPr>
          <t>james.d.baclig:</t>
        </r>
        <r>
          <rPr>
            <sz val="9"/>
            <color indexed="81"/>
            <rFont val="Tahoma"/>
            <family val="2"/>
          </rPr>
          <t xml:space="preserve">
Multiple document for 1 vendor 
can be paid by using a comma as separator (I.e. 1900000000,1900000001)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james.d.baclig</author>
  </authors>
  <commentList>
    <comment ref="L1" authorId="0" shapeId="0" xr:uid="{8693CBCE-55DE-45A1-ACFD-3D80D7A60869}">
      <text>
        <r>
          <rPr>
            <b/>
            <sz val="9"/>
            <color indexed="81"/>
            <rFont val="Tahoma"/>
            <family val="2"/>
          </rPr>
          <t>james.d.baclig:</t>
        </r>
        <r>
          <rPr>
            <sz val="9"/>
            <color indexed="81"/>
            <rFont val="Tahoma"/>
            <family val="2"/>
          </rPr>
          <t xml:space="preserve">
DO NOT populate any value on this column. </t>
        </r>
      </text>
    </comment>
    <comment ref="B2" authorId="0" shapeId="0" xr:uid="{0D913768-35FF-4B9B-9CE7-886FE2239F79}">
      <text>
        <r>
          <rPr>
            <b/>
            <sz val="9"/>
            <color indexed="81"/>
            <rFont val="Tahoma"/>
            <family val="2"/>
          </rPr>
          <t xml:space="preserve">james.d.baclig
</t>
        </r>
        <r>
          <rPr>
            <sz val="9"/>
            <color indexed="81"/>
            <rFont val="Tahoma"/>
            <family val="2"/>
          </rPr>
          <t>Ideal date for this field is current day (CT)</t>
        </r>
      </text>
    </comment>
    <comment ref="D2" authorId="0" shapeId="0" xr:uid="{B89C29C5-B489-4D0E-B1C4-06260E2820BC}">
      <text>
        <r>
          <rPr>
            <b/>
            <sz val="9"/>
            <color indexed="81"/>
            <rFont val="Tahoma"/>
            <family val="2"/>
          </rPr>
          <t>james.d.baclig:</t>
        </r>
        <r>
          <rPr>
            <sz val="9"/>
            <color indexed="81"/>
            <rFont val="Tahoma"/>
            <family val="2"/>
          </rPr>
          <t xml:space="preserve">
It is advisable to use current date here unless current dates period is closed for posting</t>
        </r>
      </text>
    </comment>
    <comment ref="E2" authorId="0" shapeId="0" xr:uid="{8381E6A1-1048-4344-9276-089BF970D1DA}">
      <text>
        <r>
          <rPr>
            <b/>
            <sz val="9"/>
            <color indexed="81"/>
            <rFont val="Tahoma"/>
            <family val="2"/>
          </rPr>
          <t>james.d.baclig:</t>
        </r>
        <r>
          <rPr>
            <sz val="9"/>
            <color indexed="81"/>
            <rFont val="Tahoma"/>
            <family val="2"/>
          </rPr>
          <t xml:space="preserve">
Always populate current date on this field/column</t>
        </r>
      </text>
    </comment>
    <comment ref="F2" authorId="0" shapeId="0" xr:uid="{DDEEF44D-EEB7-4355-9C1A-9132E05E77A4}">
      <text>
        <r>
          <rPr>
            <b/>
            <sz val="9"/>
            <color indexed="81"/>
            <rFont val="Tahoma"/>
            <family val="2"/>
          </rPr>
          <t>james.d.baclig:</t>
        </r>
        <r>
          <rPr>
            <sz val="9"/>
            <color indexed="81"/>
            <rFont val="Tahoma"/>
            <family val="2"/>
          </rPr>
          <t xml:space="preserve">
Always populate next working day for this field/column</t>
        </r>
      </text>
    </comment>
    <comment ref="H2" authorId="0" shapeId="0" xr:uid="{B2AC4F8C-16DF-4438-B8C5-1E5752A33DA5}">
      <text>
        <r>
          <rPr>
            <b/>
            <sz val="9"/>
            <color indexed="81"/>
            <rFont val="Tahoma"/>
            <family val="2"/>
          </rPr>
          <t>james.d.baclig:</t>
        </r>
        <r>
          <rPr>
            <sz val="9"/>
            <color indexed="81"/>
            <rFont val="Tahoma"/>
            <family val="2"/>
          </rPr>
          <t xml:space="preserve">
You can populate multiple payment methods here (i.e. ACDIFM)</t>
        </r>
      </text>
    </comment>
    <comment ref="J2" authorId="0" shapeId="0" xr:uid="{04E97272-BDB6-4C2F-A3E0-43F6956C0120}">
      <text>
        <r>
          <rPr>
            <b/>
            <sz val="9"/>
            <color indexed="81"/>
            <rFont val="Tahoma"/>
            <family val="2"/>
          </rPr>
          <t>james.d.baclig:</t>
        </r>
        <r>
          <rPr>
            <sz val="9"/>
            <color indexed="81"/>
            <rFont val="Tahoma"/>
            <family val="2"/>
          </rPr>
          <t xml:space="preserve">
Required only for Argentina, Korea, Taiwan, &amp; Thailand</t>
        </r>
      </text>
    </comment>
    <comment ref="K2" authorId="0" shapeId="0" xr:uid="{E93D2EBC-C0B9-4797-A4EE-2955ACE188F3}">
      <text>
        <r>
          <rPr>
            <b/>
            <sz val="9"/>
            <color indexed="81"/>
            <rFont val="Tahoma"/>
            <family val="2"/>
          </rPr>
          <t>james.d.baclig:</t>
        </r>
        <r>
          <rPr>
            <sz val="9"/>
            <color indexed="81"/>
            <rFont val="Tahoma"/>
            <family val="2"/>
          </rPr>
          <t xml:space="preserve">
Multiple document for 1 vendor 
can be paid by using a comma as separator (I.e. 1900000000,1900000001)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Juan Pablo Carro</author>
  </authors>
  <commentList>
    <comment ref="BM1" authorId="0" shapeId="0" xr:uid="{D8BA01A8-FA9C-472E-B02E-D041C726FEC9}">
      <text>
        <r>
          <rPr>
            <b/>
            <sz val="9"/>
            <color indexed="81"/>
            <rFont val="Tahoma"/>
            <family val="2"/>
          </rPr>
          <t>Juan Pablo Carro:</t>
        </r>
        <r>
          <rPr>
            <sz val="9"/>
            <color indexed="81"/>
            <rFont val="Tahoma"/>
            <family val="2"/>
          </rPr>
          <t xml:space="preserve">
Profit center to use when populating G/L items such as With holdings</t>
        </r>
      </text>
    </comment>
    <comment ref="C2" authorId="0" shapeId="0" xr:uid="{6CDCC432-C85C-44D7-B7B3-7FA6C84DA964}">
      <text>
        <r>
          <rPr>
            <b/>
            <sz val="9"/>
            <color indexed="81"/>
            <rFont val="Tahoma"/>
            <family val="2"/>
          </rPr>
          <t>Juan Pablo Carro:</t>
        </r>
        <r>
          <rPr>
            <sz val="9"/>
            <color indexed="81"/>
            <rFont val="Tahoma"/>
            <family val="2"/>
          </rPr>
          <t xml:space="preserve">
Indicate a valid vendor for the company code. Must be unblocked for posting and not flagged for deletion</t>
        </r>
      </text>
    </comment>
    <comment ref="E2" authorId="0" shapeId="0" xr:uid="{467F0747-0C52-47FC-91BC-5CA38E043063}">
      <text>
        <r>
          <rPr>
            <b/>
            <sz val="9"/>
            <color indexed="81"/>
            <rFont val="Tahoma"/>
            <family val="2"/>
          </rPr>
          <t>Juan Pablo Carro:</t>
        </r>
        <r>
          <rPr>
            <sz val="9"/>
            <color indexed="81"/>
            <rFont val="Tahoma"/>
            <family val="2"/>
          </rPr>
          <t xml:space="preserve">
Pay attention to posting period opened in the environment</t>
        </r>
      </text>
    </comment>
    <comment ref="H2" authorId="0" shapeId="0" xr:uid="{ED17CF07-30FC-4C1A-A8CC-46EAE15F984D}">
      <text>
        <r>
          <rPr>
            <b/>
            <sz val="9"/>
            <color indexed="81"/>
            <rFont val="Tahoma"/>
            <family val="2"/>
          </rPr>
          <t>Juan Pablo Carro:</t>
        </r>
        <r>
          <rPr>
            <sz val="9"/>
            <color indexed="81"/>
            <rFont val="Tahoma"/>
            <family val="2"/>
          </rPr>
          <t xml:space="preserve">
Indicate document currency</t>
        </r>
      </text>
    </comment>
    <comment ref="P2" authorId="0" shapeId="0" xr:uid="{CB3ED623-9024-46FB-AD63-02FCAEDEAE59}">
      <text>
        <r>
          <rPr>
            <b/>
            <sz val="9"/>
            <color indexed="81"/>
            <rFont val="Tahoma"/>
            <family val="2"/>
          </rPr>
          <t>Juan Pablo Carro:</t>
        </r>
        <r>
          <rPr>
            <sz val="9"/>
            <color indexed="81"/>
            <rFont val="Tahoma"/>
            <family val="2"/>
          </rPr>
          <t xml:space="preserve">
Automatically retrieved from invoice date. Not necessary to populate</t>
        </r>
      </text>
    </comment>
    <comment ref="AB2" authorId="0" shapeId="0" xr:uid="{D4EE4792-C17E-42C3-B79E-429E854D1849}">
      <text>
        <r>
          <rPr>
            <b/>
            <sz val="9"/>
            <color indexed="81"/>
            <rFont val="Tahoma"/>
            <family val="2"/>
          </rPr>
          <t>Juan Pablo Carro:</t>
        </r>
        <r>
          <rPr>
            <sz val="9"/>
            <color indexed="81"/>
            <rFont val="Tahoma"/>
            <family val="2"/>
          </rPr>
          <t xml:space="preserve">
name of the requested</t>
        </r>
      </text>
    </comment>
    <comment ref="AY2" authorId="0" shapeId="0" xr:uid="{54EEEE95-1912-4F6D-AE34-4273CEF9874C}">
      <text>
        <r>
          <rPr>
            <b/>
            <sz val="9"/>
            <color indexed="81"/>
            <rFont val="Tahoma"/>
            <family val="2"/>
          </rPr>
          <t>Juan Pablo Carro:</t>
        </r>
        <r>
          <rPr>
            <sz val="9"/>
            <color indexed="81"/>
            <rFont val="Tahoma"/>
            <family val="2"/>
          </rPr>
          <t xml:space="preserve">
For Brazil / Canada / US</t>
        </r>
      </text>
    </comment>
  </commentList>
</comments>
</file>

<file path=xl/sharedStrings.xml><?xml version="1.0" encoding="utf-8"?>
<sst xmlns="http://schemas.openxmlformats.org/spreadsheetml/2006/main" count="6390" uniqueCount="1513">
  <si>
    <t>Key Fields</t>
  </si>
  <si>
    <t>Parameter tab</t>
  </si>
  <si>
    <t>Free Selection</t>
  </si>
  <si>
    <t>Additional log</t>
  </si>
  <si>
    <t>Printout&amp;DM</t>
  </si>
  <si>
    <r>
      <t xml:space="preserve">F-53 Fields </t>
    </r>
    <r>
      <rPr>
        <i/>
        <sz val="11"/>
        <color theme="1"/>
        <rFont val="Calibri"/>
        <family val="2"/>
        <scheme val="minor"/>
      </rPr>
      <t>(Populate only if F-53 will be used)</t>
    </r>
  </si>
  <si>
    <t>Tcode</t>
  </si>
  <si>
    <t>Run Date</t>
  </si>
  <si>
    <t>Identification (Run ID)</t>
  </si>
  <si>
    <t>Posting Date</t>
  </si>
  <si>
    <t>Docs entered up to</t>
  </si>
  <si>
    <t>Next p/date</t>
  </si>
  <si>
    <t>Cocd</t>
  </si>
  <si>
    <t>Pmt meths</t>
  </si>
  <si>
    <t>Vendor</t>
  </si>
  <si>
    <t>Brnch alloc</t>
  </si>
  <si>
    <t>DocNum(s)</t>
  </si>
  <si>
    <t>Vendor frm</t>
  </si>
  <si>
    <t>Vendor to</t>
  </si>
  <si>
    <t xml:space="preserve">RFFOEDI1 </t>
  </si>
  <si>
    <t>Amount</t>
  </si>
  <si>
    <t>Currency</t>
  </si>
  <si>
    <t>FiscalYear</t>
  </si>
  <si>
    <t>F110</t>
  </si>
  <si>
    <t>08.05.2023</t>
  </si>
  <si>
    <t>D1RAT</t>
  </si>
  <si>
    <t>30.04.2023</t>
  </si>
  <si>
    <t>30.04.2024</t>
  </si>
  <si>
    <t>1500</t>
  </si>
  <si>
    <t>ABDMTUW</t>
  </si>
  <si>
    <t>IHC POB</t>
  </si>
  <si>
    <t>USD</t>
  </si>
  <si>
    <t>1000</t>
  </si>
  <si>
    <t>SAP Automated Screenshots</t>
  </si>
  <si>
    <t>This GUI script pays Invoice documents using F110/F-53 and goes through a predefined screen sequence then take screenshot of those screens.
Results are saved in a Word document for each invoice paid including their screenshots.</t>
  </si>
  <si>
    <t>Status</t>
  </si>
  <si>
    <t>1  Processing</t>
  </si>
  <si>
    <t>2  Completed</t>
  </si>
  <si>
    <t xml:space="preserve">Click Start Script to start the automation. </t>
  </si>
  <si>
    <t>3  Error</t>
  </si>
  <si>
    <t>HnM Enabled</t>
  </si>
  <si>
    <t>HnM Status:</t>
  </si>
  <si>
    <t>Run ID</t>
  </si>
  <si>
    <t>Message</t>
  </si>
  <si>
    <t>Clearing Doc</t>
  </si>
  <si>
    <t>Error Type</t>
  </si>
  <si>
    <t>Post Order Generated</t>
  </si>
  <si>
    <t>Post Order Completed</t>
  </si>
  <si>
    <t>RunDate</t>
  </si>
  <si>
    <t>RunId</t>
  </si>
  <si>
    <t>PostingDate</t>
  </si>
  <si>
    <t>DocsISRNumberedUpTo</t>
  </si>
  <si>
    <t>NextPDate</t>
  </si>
  <si>
    <t>CoCd</t>
  </si>
  <si>
    <t>PmtMTDS</t>
  </si>
  <si>
    <t>VendorId</t>
  </si>
  <si>
    <t>BranchAlloc</t>
  </si>
  <si>
    <t>DocNums</t>
  </si>
  <si>
    <t xml:space="preserve"> </t>
  </si>
  <si>
    <t>Curr</t>
  </si>
  <si>
    <t>Tcode = ThisWorkbook.Sheets(Sheet1).Cells(iRow, 1).Value</t>
  </si>
  <si>
    <t>RunDate = ThisWorkbook.Sheets(Sheet1).Cells(iRow, 2).Value</t>
  </si>
  <si>
    <t>RunId = ThisWorkbook.Sheets(Sheet1).Cells(iRow, 3).Value</t>
  </si>
  <si>
    <t>PostingDate = ThisWorkbook.Sheets(Sheet1).Cells(iRow, 4).Value</t>
  </si>
  <si>
    <t>DocsISRNumberedUpTo = ThisWorkbook.Sheets(Sheet1).Cells(iRow, 5).Value</t>
  </si>
  <si>
    <t>NextPDate = ThisWorkbook.Sheets(Sheet1).Cells(iRow, 6).Value</t>
  </si>
  <si>
    <t>CoCd = ThisWorkbook.Sheets(Sheet1).Cells(iRow, 7).Value</t>
  </si>
  <si>
    <t>PmtMTDS = ThisWorkbook.Sheets(Sheet1).Cells(iRow, 8).Value</t>
  </si>
  <si>
    <t>VendorId = ThisWorkbook.Sheets(Sheet1).Cells(iRow, 9).Value</t>
  </si>
  <si>
    <t>BranchAlloc = ThisWorkbook.Sheets(Sheet1).Cells(iRow, 10).Value</t>
  </si>
  <si>
    <t>DocNums = ThisWorkbook.Sheets(Sheet1).Cells(iRow, 11).Value</t>
  </si>
  <si>
    <t>RFFOEDI1  = ThisWorkbook.Sheets(Sheet1).Cells(iRow, 14).Value</t>
  </si>
  <si>
    <t>F-53 Fields</t>
  </si>
  <si>
    <t>20.02.2023</t>
  </si>
  <si>
    <t>30.12.2023</t>
  </si>
  <si>
    <t>3300</t>
  </si>
  <si>
    <t>W</t>
  </si>
  <si>
    <t>0003000189</t>
  </si>
  <si>
    <t>100,00</t>
  </si>
  <si>
    <t>THB</t>
  </si>
  <si>
    <t>31.03.2023</t>
  </si>
  <si>
    <t>TESTZ</t>
  </si>
  <si>
    <t>AW</t>
  </si>
  <si>
    <t>TH01</t>
  </si>
  <si>
    <t>1900000379</t>
  </si>
  <si>
    <t>1,00</t>
  </si>
  <si>
    <t>100531403</t>
  </si>
  <si>
    <t>0003000197</t>
  </si>
  <si>
    <t>F-53</t>
  </si>
  <si>
    <t>TEST2</t>
  </si>
  <si>
    <t>D</t>
  </si>
  <si>
    <t>TCODE</t>
  </si>
  <si>
    <t>MAIN TAB</t>
  </si>
  <si>
    <t>Payment tab</t>
  </si>
  <si>
    <t>Additional details tab</t>
  </si>
  <si>
    <t>-------</t>
  </si>
  <si>
    <t>Line detail area</t>
  </si>
  <si>
    <t>Additional Data</t>
  </si>
  <si>
    <t>Valid data</t>
  </si>
  <si>
    <t>FB60</t>
  </si>
  <si>
    <t>FV60</t>
  </si>
  <si>
    <t>DO NOT DELETE!</t>
  </si>
  <si>
    <t>Transaction</t>
  </si>
  <si>
    <t>inv. Date</t>
  </si>
  <si>
    <t>post. Date</t>
  </si>
  <si>
    <t>Inv. Reference</t>
  </si>
  <si>
    <t>Tax code</t>
  </si>
  <si>
    <t>Total Amnt</t>
  </si>
  <si>
    <t>tax amount</t>
  </si>
  <si>
    <t>Business place</t>
  </si>
  <si>
    <t>Text</t>
  </si>
  <si>
    <t>Doc Type</t>
  </si>
  <si>
    <t>Trasaction Type</t>
  </si>
  <si>
    <t>placeholder</t>
  </si>
  <si>
    <t>baseline Dt</t>
  </si>
  <si>
    <t>pmt method</t>
  </si>
  <si>
    <t>Payment reference</t>
  </si>
  <si>
    <t>Assign.</t>
  </si>
  <si>
    <t>Header Text</t>
  </si>
  <si>
    <t>Ref key1</t>
  </si>
  <si>
    <t>Ref key2</t>
  </si>
  <si>
    <t>Ref Key 3</t>
  </si>
  <si>
    <t>Received date</t>
  </si>
  <si>
    <t>Line Item number</t>
  </si>
  <si>
    <t>Purchase G/L</t>
  </si>
  <si>
    <t>Purchase Amount</t>
  </si>
  <si>
    <t>Cost Object Type</t>
  </si>
  <si>
    <t>Cost Object</t>
  </si>
  <si>
    <t>Cost Collector</t>
  </si>
  <si>
    <t>jurisdicion code</t>
  </si>
  <si>
    <t>CrossCo</t>
  </si>
  <si>
    <t>Cost Object Number</t>
  </si>
  <si>
    <t>Cost Object 2</t>
  </si>
  <si>
    <t>Cost Object 3</t>
  </si>
  <si>
    <t>HSN/SAC</t>
  </si>
  <si>
    <t>Profit Center</t>
  </si>
  <si>
    <t>Test Type</t>
  </si>
  <si>
    <t>Cost Center</t>
  </si>
  <si>
    <t>WBS</t>
  </si>
  <si>
    <t>09.11.2015</t>
  </si>
  <si>
    <t>09.10.2015</t>
  </si>
  <si>
    <t>16.1F110_TS2_1</t>
  </si>
  <si>
    <t>X0</t>
  </si>
  <si>
    <t>INR</t>
  </si>
  <si>
    <t>100</t>
  </si>
  <si>
    <t>IN01</t>
  </si>
  <si>
    <t>I</t>
  </si>
  <si>
    <t>M-780701</t>
  </si>
  <si>
    <t>aribaUser27.Test</t>
  </si>
  <si>
    <t>5299999999</t>
  </si>
  <si>
    <t>NL#_Test</t>
  </si>
  <si>
    <t>BPO Voice Lateral</t>
  </si>
  <si>
    <t>640000</t>
  </si>
  <si>
    <t>*</t>
  </si>
  <si>
    <t>100071927</t>
  </si>
  <si>
    <t>17.10.2022</t>
  </si>
  <si>
    <t>17.09.2022</t>
  </si>
  <si>
    <t>Test1</t>
  </si>
  <si>
    <t>Invoice</t>
  </si>
  <si>
    <t>TestUser.R0.US</t>
  </si>
  <si>
    <t>1</t>
  </si>
  <si>
    <t>BJFMG001</t>
  </si>
  <si>
    <t>Test2</t>
  </si>
  <si>
    <t>06.10.2022</t>
  </si>
  <si>
    <t>06.09.2022</t>
  </si>
  <si>
    <t>1000_TEST56</t>
  </si>
  <si>
    <t>20.09.2022</t>
  </si>
  <si>
    <t>1000_TEST39</t>
  </si>
  <si>
    <t>1000_TEST40</t>
  </si>
  <si>
    <t>1000_TEST41</t>
  </si>
  <si>
    <t>100028785</t>
  </si>
  <si>
    <t>01.08.2022</t>
  </si>
  <si>
    <t>30.10.2022</t>
  </si>
  <si>
    <t>3004_SBCF2</t>
  </si>
  <si>
    <t>GBP</t>
  </si>
  <si>
    <t>TestUser.R0.GB</t>
  </si>
  <si>
    <t>3</t>
  </si>
  <si>
    <t>500</t>
  </si>
  <si>
    <t>A0AJH001</t>
  </si>
  <si>
    <t>A0RL500H</t>
  </si>
  <si>
    <t>A1F9L001</t>
  </si>
  <si>
    <t>3004_SBCF3</t>
  </si>
  <si>
    <t>VA415001</t>
  </si>
  <si>
    <t>VA322001</t>
  </si>
  <si>
    <t>UBKMJ001</t>
  </si>
  <si>
    <t>30.11.2022</t>
  </si>
  <si>
    <t>3004_SBCF28</t>
  </si>
  <si>
    <t>JU060001</t>
  </si>
  <si>
    <t>K8625001</t>
  </si>
  <si>
    <t>L8381001</t>
  </si>
  <si>
    <t>3004_SBCF29</t>
  </si>
  <si>
    <t>3004_TEST4</t>
  </si>
  <si>
    <t>Network</t>
  </si>
  <si>
    <t>P0244013</t>
  </si>
  <si>
    <t>P0247799</t>
  </si>
  <si>
    <t>P0264367</t>
  </si>
  <si>
    <t>3004_noncrossco</t>
  </si>
  <si>
    <t>BVRLX001</t>
  </si>
  <si>
    <t>BIQN9001</t>
  </si>
  <si>
    <t>A6HJ5001</t>
  </si>
  <si>
    <t>Testtest6</t>
  </si>
  <si>
    <t>100274247</t>
  </si>
  <si>
    <t>31.07.2022</t>
  </si>
  <si>
    <t>Testtest1</t>
  </si>
  <si>
    <t>BRL</t>
  </si>
  <si>
    <t>TestUser.R0.BR</t>
  </si>
  <si>
    <t>31.03.2022</t>
  </si>
  <si>
    <t>CostCollector-Network</t>
  </si>
  <si>
    <t>P0053761</t>
  </si>
  <si>
    <t>Z0089C28</t>
  </si>
  <si>
    <t>DF 5300108</t>
  </si>
  <si>
    <t>AATPT_BR.1N</t>
  </si>
  <si>
    <t>P0034671</t>
  </si>
  <si>
    <t>SP 3550308</t>
  </si>
  <si>
    <t>100457304</t>
  </si>
  <si>
    <t>AATPT_UK.5</t>
  </si>
  <si>
    <t>TestUser.R0.UK</t>
  </si>
  <si>
    <t>OB864005</t>
  </si>
  <si>
    <t>AATPT_UK.6</t>
  </si>
  <si>
    <t>AATPT_UK.1N</t>
  </si>
  <si>
    <t>P0244748</t>
  </si>
  <si>
    <t>AATPT_PH.1</t>
  </si>
  <si>
    <t>PHP</t>
  </si>
  <si>
    <t>TestUser.R0.PH</t>
  </si>
  <si>
    <t>AATPT_PH.2</t>
  </si>
  <si>
    <t>BQT19003</t>
  </si>
  <si>
    <t>8003</t>
  </si>
  <si>
    <t>AATPT_PH.1N</t>
  </si>
  <si>
    <t>100076768</t>
  </si>
  <si>
    <t>AATPT_JP.1</t>
  </si>
  <si>
    <t>JPY</t>
  </si>
  <si>
    <t>TestUser.R0.JP</t>
  </si>
  <si>
    <t>BHMBJ006</t>
  </si>
  <si>
    <t>AATPT_JP.2</t>
  </si>
  <si>
    <t>CostCollector-WBS</t>
  </si>
  <si>
    <t>BMX7Y005</t>
  </si>
  <si>
    <t>Z013VH25</t>
  </si>
  <si>
    <t>AATPT_JP.3</t>
  </si>
  <si>
    <t>AATPT_JP.1N</t>
  </si>
  <si>
    <t>P0256984</t>
  </si>
  <si>
    <t>100459742</t>
  </si>
  <si>
    <t>03.02.2022</t>
  </si>
  <si>
    <t>AATPT_IT.1</t>
  </si>
  <si>
    <t>EUR</t>
  </si>
  <si>
    <t>TestUser.R0.IT</t>
  </si>
  <si>
    <t>BOPMY003</t>
  </si>
  <si>
    <t>Z014E338</t>
  </si>
  <si>
    <t>AATPT_IT.2</t>
  </si>
  <si>
    <t>N9816001</t>
  </si>
  <si>
    <t>AATPT_IT.3</t>
  </si>
  <si>
    <t>AATPT_IT.1N</t>
  </si>
  <si>
    <t>AATPT_IN.1</t>
  </si>
  <si>
    <t>IN49</t>
  </si>
  <si>
    <t>TestUser.R0.IN</t>
  </si>
  <si>
    <t>P0072046</t>
  </si>
  <si>
    <t>Z006CZ54</t>
  </si>
  <si>
    <t>8120</t>
  </si>
  <si>
    <t>4902</t>
  </si>
  <si>
    <t>AATPT_IN.2</t>
  </si>
  <si>
    <t>BLCW9001</t>
  </si>
  <si>
    <t>AATPT_IN.1N</t>
  </si>
  <si>
    <t>ScreenShot Disabled</t>
  </si>
  <si>
    <t>RA4900</t>
  </si>
  <si>
    <t>31.12.2024</t>
  </si>
  <si>
    <t>20.02.2025</t>
  </si>
  <si>
    <t>20.02.2026</t>
  </si>
  <si>
    <t>6101</t>
  </si>
  <si>
    <t>E</t>
  </si>
  <si>
    <t>4705</t>
  </si>
  <si>
    <t>6100</t>
  </si>
  <si>
    <t>No Error</t>
  </si>
  <si>
    <t>4703</t>
  </si>
  <si>
    <t>4704</t>
  </si>
  <si>
    <t>3800</t>
  </si>
  <si>
    <t>AT176</t>
  </si>
  <si>
    <t>AT177</t>
  </si>
  <si>
    <t>AT178</t>
  </si>
  <si>
    <t>AT179</t>
  </si>
  <si>
    <t>AT180</t>
  </si>
  <si>
    <t>AT181</t>
  </si>
  <si>
    <t>AT182</t>
  </si>
  <si>
    <t>AT183</t>
  </si>
  <si>
    <t>AT184</t>
  </si>
  <si>
    <t>AT185</t>
  </si>
  <si>
    <t>AT186</t>
  </si>
  <si>
    <t>AT187</t>
  </si>
  <si>
    <t>AT188</t>
  </si>
  <si>
    <t>AT189</t>
  </si>
  <si>
    <t>AT190</t>
  </si>
  <si>
    <t>AT191</t>
  </si>
  <si>
    <t>AT192</t>
  </si>
  <si>
    <t>AT193</t>
  </si>
  <si>
    <t>AT194</t>
  </si>
  <si>
    <t>AT195</t>
  </si>
  <si>
    <t>AT196</t>
  </si>
  <si>
    <t>AT197</t>
  </si>
  <si>
    <t>AT198</t>
  </si>
  <si>
    <t>AT199</t>
  </si>
  <si>
    <t>AT200</t>
  </si>
  <si>
    <t>AT201</t>
  </si>
  <si>
    <t>AT202</t>
  </si>
  <si>
    <t>AT203</t>
  </si>
  <si>
    <t>AT204</t>
  </si>
  <si>
    <t>AT205</t>
  </si>
  <si>
    <t>AT206</t>
  </si>
  <si>
    <t>AT207</t>
  </si>
  <si>
    <t>AT208</t>
  </si>
  <si>
    <t>AT209</t>
  </si>
  <si>
    <t>AT210</t>
  </si>
  <si>
    <t>AT211</t>
  </si>
  <si>
    <t>AT212</t>
  </si>
  <si>
    <t>AT213</t>
  </si>
  <si>
    <t>AT214</t>
  </si>
  <si>
    <t>AT215</t>
  </si>
  <si>
    <t>AT216</t>
  </si>
  <si>
    <t>AT217</t>
  </si>
  <si>
    <t>AT218</t>
  </si>
  <si>
    <t>AT219</t>
  </si>
  <si>
    <t>AT220</t>
  </si>
  <si>
    <t>AT221</t>
  </si>
  <si>
    <t>AT222</t>
  </si>
  <si>
    <t>AT223</t>
  </si>
  <si>
    <t>AT224</t>
  </si>
  <si>
    <t>AT225</t>
  </si>
  <si>
    <t>AT226</t>
  </si>
  <si>
    <t>AT227</t>
  </si>
  <si>
    <t>AT228</t>
  </si>
  <si>
    <t>AT229</t>
  </si>
  <si>
    <t>AT230</t>
  </si>
  <si>
    <t>AT231</t>
  </si>
  <si>
    <t>AT232</t>
  </si>
  <si>
    <t>AT233</t>
  </si>
  <si>
    <t>AT234</t>
  </si>
  <si>
    <t>AT235</t>
  </si>
  <si>
    <t>AT236</t>
  </si>
  <si>
    <t>AT237</t>
  </si>
  <si>
    <t>AT238</t>
  </si>
  <si>
    <t>AT239</t>
  </si>
  <si>
    <t>AT240</t>
  </si>
  <si>
    <t>AT241</t>
  </si>
  <si>
    <t>AT242</t>
  </si>
  <si>
    <t>AT243</t>
  </si>
  <si>
    <t>AT244</t>
  </si>
  <si>
    <t>AT245</t>
  </si>
  <si>
    <t>AT246</t>
  </si>
  <si>
    <t>AT247</t>
  </si>
  <si>
    <t>AT248</t>
  </si>
  <si>
    <t>AT249</t>
  </si>
  <si>
    <t>AT250</t>
  </si>
  <si>
    <t>AT251</t>
  </si>
  <si>
    <t>AT252</t>
  </si>
  <si>
    <t>AT253</t>
  </si>
  <si>
    <t>AT254</t>
  </si>
  <si>
    <t>AT255</t>
  </si>
  <si>
    <t>AT256</t>
  </si>
  <si>
    <t>AT257</t>
  </si>
  <si>
    <t>AT258</t>
  </si>
  <si>
    <t>AT259</t>
  </si>
  <si>
    <t>AT260</t>
  </si>
  <si>
    <t>AT261</t>
  </si>
  <si>
    <t>AT262</t>
  </si>
  <si>
    <t>AT263</t>
  </si>
  <si>
    <t>AT264</t>
  </si>
  <si>
    <t>AT265</t>
  </si>
  <si>
    <t>AT266</t>
  </si>
  <si>
    <t>AT267</t>
  </si>
  <si>
    <t>AT268</t>
  </si>
  <si>
    <t>AT269</t>
  </si>
  <si>
    <t>AT270</t>
  </si>
  <si>
    <t>AT271</t>
  </si>
  <si>
    <t>AT272</t>
  </si>
  <si>
    <t>AT273</t>
  </si>
  <si>
    <t>AT274</t>
  </si>
  <si>
    <t>AT275</t>
  </si>
  <si>
    <t>AT276</t>
  </si>
  <si>
    <t>AT277</t>
  </si>
  <si>
    <t>AT278</t>
  </si>
  <si>
    <t>AT279</t>
  </si>
  <si>
    <t>AT280</t>
  </si>
  <si>
    <t>AT281</t>
  </si>
  <si>
    <t>AT282</t>
  </si>
  <si>
    <t>AT283</t>
  </si>
  <si>
    <t>AT284</t>
  </si>
  <si>
    <t>AT285</t>
  </si>
  <si>
    <t>AT286</t>
  </si>
  <si>
    <t>AT287</t>
  </si>
  <si>
    <t>AT288</t>
  </si>
  <si>
    <t>AT289</t>
  </si>
  <si>
    <t>AT290</t>
  </si>
  <si>
    <t>AT291</t>
  </si>
  <si>
    <t>AT292</t>
  </si>
  <si>
    <t>AT293</t>
  </si>
  <si>
    <t>AT294</t>
  </si>
  <si>
    <t>AT295</t>
  </si>
  <si>
    <t>AT296</t>
  </si>
  <si>
    <t>AT297</t>
  </si>
  <si>
    <t>AT298</t>
  </si>
  <si>
    <t>AT299</t>
  </si>
  <si>
    <t>AT300</t>
  </si>
  <si>
    <t>AT301</t>
  </si>
  <si>
    <t>AT302</t>
  </si>
  <si>
    <t>AT303</t>
  </si>
  <si>
    <t>AT304</t>
  </si>
  <si>
    <t>AT305</t>
  </si>
  <si>
    <t>AT306</t>
  </si>
  <si>
    <t>AT307</t>
  </si>
  <si>
    <t>AT308</t>
  </si>
  <si>
    <t>AT309</t>
  </si>
  <si>
    <t>AT310</t>
  </si>
  <si>
    <t>AT311</t>
  </si>
  <si>
    <t>AT312</t>
  </si>
  <si>
    <t>AT313</t>
  </si>
  <si>
    <t>AT314</t>
  </si>
  <si>
    <t>AT315</t>
  </si>
  <si>
    <t>AT316</t>
  </si>
  <si>
    <t>AT317</t>
  </si>
  <si>
    <t>AT318</t>
  </si>
  <si>
    <t>AT319</t>
  </si>
  <si>
    <t>AT320</t>
  </si>
  <si>
    <t>AT321</t>
  </si>
  <si>
    <t>AT322</t>
  </si>
  <si>
    <t>AT323</t>
  </si>
  <si>
    <t>AT324</t>
  </si>
  <si>
    <t>AT325</t>
  </si>
  <si>
    <t>AT326</t>
  </si>
  <si>
    <t>AT327</t>
  </si>
  <si>
    <t>AT328</t>
  </si>
  <si>
    <t>AT329</t>
  </si>
  <si>
    <t>AT330</t>
  </si>
  <si>
    <t>AT331</t>
  </si>
  <si>
    <t>AT332</t>
  </si>
  <si>
    <t>AT333</t>
  </si>
  <si>
    <t>AT334</t>
  </si>
  <si>
    <t>AT335</t>
  </si>
  <si>
    <t>AT336</t>
  </si>
  <si>
    <t>AT337</t>
  </si>
  <si>
    <t>AT338</t>
  </si>
  <si>
    <t>AT339</t>
  </si>
  <si>
    <t>AT340</t>
  </si>
  <si>
    <t>AT341</t>
  </si>
  <si>
    <t>AT342</t>
  </si>
  <si>
    <t>AT343</t>
  </si>
  <si>
    <t>AT344</t>
  </si>
  <si>
    <t>AT345</t>
  </si>
  <si>
    <t>AT346</t>
  </si>
  <si>
    <t>AT347</t>
  </si>
  <si>
    <t>AT348</t>
  </si>
  <si>
    <t>AT349</t>
  </si>
  <si>
    <t>AT350</t>
  </si>
  <si>
    <t>AT351</t>
  </si>
  <si>
    <t>AT352</t>
  </si>
  <si>
    <t>AT353</t>
  </si>
  <si>
    <t>AT354</t>
  </si>
  <si>
    <t>AT355</t>
  </si>
  <si>
    <t>AT356</t>
  </si>
  <si>
    <t>AT357</t>
  </si>
  <si>
    <t>AT358</t>
  </si>
  <si>
    <t>AT359</t>
  </si>
  <si>
    <t>AT360</t>
  </si>
  <si>
    <t>AT361</t>
  </si>
  <si>
    <t>AT362</t>
  </si>
  <si>
    <t>AT363</t>
  </si>
  <si>
    <t>AT364</t>
  </si>
  <si>
    <t>AT365</t>
  </si>
  <si>
    <t>AT366</t>
  </si>
  <si>
    <t>AT367</t>
  </si>
  <si>
    <t>AT368</t>
  </si>
  <si>
    <t>AT369</t>
  </si>
  <si>
    <t>AT370</t>
  </si>
  <si>
    <t>AT371</t>
  </si>
  <si>
    <t>AT372</t>
  </si>
  <si>
    <t>AT373</t>
  </si>
  <si>
    <t>AT374</t>
  </si>
  <si>
    <t>AT375</t>
  </si>
  <si>
    <t>AT376</t>
  </si>
  <si>
    <t>AT377</t>
  </si>
  <si>
    <t>AT378</t>
  </si>
  <si>
    <t>AT379</t>
  </si>
  <si>
    <t>AT380</t>
  </si>
  <si>
    <t>AT381</t>
  </si>
  <si>
    <t>AT382</t>
  </si>
  <si>
    <t>AT383</t>
  </si>
  <si>
    <t>AT384</t>
  </si>
  <si>
    <t>AT385</t>
  </si>
  <si>
    <t>AT386</t>
  </si>
  <si>
    <t>AT387</t>
  </si>
  <si>
    <t>AT388</t>
  </si>
  <si>
    <t>AT389</t>
  </si>
  <si>
    <t>AT390</t>
  </si>
  <si>
    <t>AT391</t>
  </si>
  <si>
    <t>AT392</t>
  </si>
  <si>
    <t>AT393</t>
  </si>
  <si>
    <t>AT394</t>
  </si>
  <si>
    <t>AT395</t>
  </si>
  <si>
    <t>AT396</t>
  </si>
  <si>
    <t>AT397</t>
  </si>
  <si>
    <t>AT398</t>
  </si>
  <si>
    <t>AT399</t>
  </si>
  <si>
    <t>AT400</t>
  </si>
  <si>
    <t>AT401</t>
  </si>
  <si>
    <t>AT402</t>
  </si>
  <si>
    <t>AT403</t>
  </si>
  <si>
    <t>AT404</t>
  </si>
  <si>
    <t>AT405</t>
  </si>
  <si>
    <t>AT406</t>
  </si>
  <si>
    <t>AT407</t>
  </si>
  <si>
    <t>AT408</t>
  </si>
  <si>
    <t>AT409</t>
  </si>
  <si>
    <t>AT410</t>
  </si>
  <si>
    <t>AT411</t>
  </si>
  <si>
    <t>AT412</t>
  </si>
  <si>
    <t>AT413</t>
  </si>
  <si>
    <t>AT414</t>
  </si>
  <si>
    <t>AT415</t>
  </si>
  <si>
    <t>AT416</t>
  </si>
  <si>
    <t>AT417</t>
  </si>
  <si>
    <t>AT418</t>
  </si>
  <si>
    <t>AT419</t>
  </si>
  <si>
    <t>AT420</t>
  </si>
  <si>
    <t>AT421</t>
  </si>
  <si>
    <t>AT422</t>
  </si>
  <si>
    <t>AT423</t>
  </si>
  <si>
    <t>AT424</t>
  </si>
  <si>
    <t>AT425</t>
  </si>
  <si>
    <t>AT426</t>
  </si>
  <si>
    <t>AT427</t>
  </si>
  <si>
    <t>AT428</t>
  </si>
  <si>
    <t>AT429</t>
  </si>
  <si>
    <t>AT430</t>
  </si>
  <si>
    <t>AT431</t>
  </si>
  <si>
    <t>AT432</t>
  </si>
  <si>
    <t>AT433</t>
  </si>
  <si>
    <t>AT434</t>
  </si>
  <si>
    <t>AT435</t>
  </si>
  <si>
    <t>AT436</t>
  </si>
  <si>
    <t>AT437</t>
  </si>
  <si>
    <t>AT438</t>
  </si>
  <si>
    <t>AT439</t>
  </si>
  <si>
    <t>AT440</t>
  </si>
  <si>
    <t>AT441</t>
  </si>
  <si>
    <t>AT442</t>
  </si>
  <si>
    <t>AT443</t>
  </si>
  <si>
    <t>AT444</t>
  </si>
  <si>
    <t>AT445</t>
  </si>
  <si>
    <t>AT446</t>
  </si>
  <si>
    <t>AT447</t>
  </si>
  <si>
    <t>AT448</t>
  </si>
  <si>
    <t>AT449</t>
  </si>
  <si>
    <t>AT450</t>
  </si>
  <si>
    <t>AT451</t>
  </si>
  <si>
    <t>AT452</t>
  </si>
  <si>
    <t>AT453</t>
  </si>
  <si>
    <t>AT454</t>
  </si>
  <si>
    <t>AT455</t>
  </si>
  <si>
    <t>AT456</t>
  </si>
  <si>
    <t>AT457</t>
  </si>
  <si>
    <t>AT458</t>
  </si>
  <si>
    <t>AT459</t>
  </si>
  <si>
    <t>AT460</t>
  </si>
  <si>
    <t>AT461</t>
  </si>
  <si>
    <t>AT462</t>
  </si>
  <si>
    <t>AT463</t>
  </si>
  <si>
    <t>AT464</t>
  </si>
  <si>
    <t>AT465</t>
  </si>
  <si>
    <t>AT466</t>
  </si>
  <si>
    <t>AT467</t>
  </si>
  <si>
    <t>AT468</t>
  </si>
  <si>
    <t>AT469</t>
  </si>
  <si>
    <t>AT470</t>
  </si>
  <si>
    <t>AT471</t>
  </si>
  <si>
    <t>AT472</t>
  </si>
  <si>
    <t>AT473</t>
  </si>
  <si>
    <t>AT474</t>
  </si>
  <si>
    <t>AT475</t>
  </si>
  <si>
    <t>AT476</t>
  </si>
  <si>
    <t>AT477</t>
  </si>
  <si>
    <t>AT478</t>
  </si>
  <si>
    <t>AT479</t>
  </si>
  <si>
    <t>AT480</t>
  </si>
  <si>
    <t>AT481</t>
  </si>
  <si>
    <t>AT482</t>
  </si>
  <si>
    <t>AT483</t>
  </si>
  <si>
    <t>AT484</t>
  </si>
  <si>
    <t>AT485</t>
  </si>
  <si>
    <t>AT486</t>
  </si>
  <si>
    <t>AT487</t>
  </si>
  <si>
    <t>AT488</t>
  </si>
  <si>
    <t>AT489</t>
  </si>
  <si>
    <t>AT490</t>
  </si>
  <si>
    <t>AT491</t>
  </si>
  <si>
    <t>AT492</t>
  </si>
  <si>
    <t>AT493</t>
  </si>
  <si>
    <t>AT494</t>
  </si>
  <si>
    <t>AT495</t>
  </si>
  <si>
    <t>AT496</t>
  </si>
  <si>
    <t>AT497</t>
  </si>
  <si>
    <t>AT498</t>
  </si>
  <si>
    <t>AT499</t>
  </si>
  <si>
    <t>AT500</t>
  </si>
  <si>
    <t>AT501</t>
  </si>
  <si>
    <t>AT502</t>
  </si>
  <si>
    <t>AT503</t>
  </si>
  <si>
    <t>AT504</t>
  </si>
  <si>
    <t>AT505</t>
  </si>
  <si>
    <t>AT506</t>
  </si>
  <si>
    <t>AT507</t>
  </si>
  <si>
    <t>AT508</t>
  </si>
  <si>
    <t>AT509</t>
  </si>
  <si>
    <t>AT510</t>
  </si>
  <si>
    <t>AT511</t>
  </si>
  <si>
    <t>AT512</t>
  </si>
  <si>
    <t>AT513</t>
  </si>
  <si>
    <t>AT514</t>
  </si>
  <si>
    <t>AT515</t>
  </si>
  <si>
    <t>AT516</t>
  </si>
  <si>
    <t>AT517</t>
  </si>
  <si>
    <t>AT518</t>
  </si>
  <si>
    <t>AT519</t>
  </si>
  <si>
    <t>AT520</t>
  </si>
  <si>
    <t>AT521</t>
  </si>
  <si>
    <t>AT522</t>
  </si>
  <si>
    <t>AT523</t>
  </si>
  <si>
    <t>AT524</t>
  </si>
  <si>
    <t>AT525</t>
  </si>
  <si>
    <t>AT526</t>
  </si>
  <si>
    <t>AT527</t>
  </si>
  <si>
    <t>AT528</t>
  </si>
  <si>
    <t>AT529</t>
  </si>
  <si>
    <t>AT530</t>
  </si>
  <si>
    <t>AT531</t>
  </si>
  <si>
    <t>AT532</t>
  </si>
  <si>
    <t>AT533</t>
  </si>
  <si>
    <t>AT534</t>
  </si>
  <si>
    <t>AT535</t>
  </si>
  <si>
    <t>AT536</t>
  </si>
  <si>
    <t>AT537</t>
  </si>
  <si>
    <t>AT538</t>
  </si>
  <si>
    <t>AT539</t>
  </si>
  <si>
    <t>AT540</t>
  </si>
  <si>
    <t>AT541</t>
  </si>
  <si>
    <t>AT542</t>
  </si>
  <si>
    <t>AT543</t>
  </si>
  <si>
    <t>AT544</t>
  </si>
  <si>
    <t>AT545</t>
  </si>
  <si>
    <t>AT546</t>
  </si>
  <si>
    <t>AT547</t>
  </si>
  <si>
    <t>AT548</t>
  </si>
  <si>
    <t>AT549</t>
  </si>
  <si>
    <t>AT550</t>
  </si>
  <si>
    <t>AT551</t>
  </si>
  <si>
    <t>AT552</t>
  </si>
  <si>
    <t>AT553</t>
  </si>
  <si>
    <t>AT554</t>
  </si>
  <si>
    <t>AT555</t>
  </si>
  <si>
    <t>AT556</t>
  </si>
  <si>
    <t>AT557</t>
  </si>
  <si>
    <t>AT558</t>
  </si>
  <si>
    <t>AT559</t>
  </si>
  <si>
    <t>AT560</t>
  </si>
  <si>
    <t>AT561</t>
  </si>
  <si>
    <t>AT562</t>
  </si>
  <si>
    <t>AT563</t>
  </si>
  <si>
    <t>AT564</t>
  </si>
  <si>
    <t>AT565</t>
  </si>
  <si>
    <t>AT566</t>
  </si>
  <si>
    <t>AT567</t>
  </si>
  <si>
    <t>AT568</t>
  </si>
  <si>
    <t>AT569</t>
  </si>
  <si>
    <t>AT570</t>
  </si>
  <si>
    <t>AT571</t>
  </si>
  <si>
    <t>AT572</t>
  </si>
  <si>
    <t>AT573</t>
  </si>
  <si>
    <t>AT574</t>
  </si>
  <si>
    <t>AT575</t>
  </si>
  <si>
    <t>AT576</t>
  </si>
  <si>
    <t>AT577</t>
  </si>
  <si>
    <t>AT578</t>
  </si>
  <si>
    <t>AT579</t>
  </si>
  <si>
    <t>AT580</t>
  </si>
  <si>
    <t>AT581</t>
  </si>
  <si>
    <t>AT582</t>
  </si>
  <si>
    <t>AT583</t>
  </si>
  <si>
    <t>AT584</t>
  </si>
  <si>
    <t>AT585</t>
  </si>
  <si>
    <t>AT586</t>
  </si>
  <si>
    <t>AT587</t>
  </si>
  <si>
    <t>AT588</t>
  </si>
  <si>
    <t>AT589</t>
  </si>
  <si>
    <t>AT590</t>
  </si>
  <si>
    <t>AT591</t>
  </si>
  <si>
    <t>AT592</t>
  </si>
  <si>
    <t>AT593</t>
  </si>
  <si>
    <t>AT594</t>
  </si>
  <si>
    <t>AT595</t>
  </si>
  <si>
    <t>AT596</t>
  </si>
  <si>
    <t>AT597</t>
  </si>
  <si>
    <t>AT598</t>
  </si>
  <si>
    <t>AT599</t>
  </si>
  <si>
    <t>AT600</t>
  </si>
  <si>
    <t>AT601</t>
  </si>
  <si>
    <t>AT602</t>
  </si>
  <si>
    <t>AT603</t>
  </si>
  <si>
    <t>10172474</t>
  </si>
  <si>
    <t>10201200</t>
  </si>
  <si>
    <t>10249731</t>
  </si>
  <si>
    <t>10250005</t>
  </si>
  <si>
    <t>10252158</t>
  </si>
  <si>
    <t>10256075</t>
  </si>
  <si>
    <t>10256076</t>
  </si>
  <si>
    <t>10256221</t>
  </si>
  <si>
    <t>10262080</t>
  </si>
  <si>
    <t>10262081</t>
  </si>
  <si>
    <t>10262454</t>
  </si>
  <si>
    <t>10262535</t>
  </si>
  <si>
    <t>10262545</t>
  </si>
  <si>
    <t>10262619</t>
  </si>
  <si>
    <t>10262625</t>
  </si>
  <si>
    <t>10264072</t>
  </si>
  <si>
    <t>10264670</t>
  </si>
  <si>
    <t>10264966</t>
  </si>
  <si>
    <t>10267081</t>
  </si>
  <si>
    <t>10267084</t>
  </si>
  <si>
    <t>10267087</t>
  </si>
  <si>
    <t>10267522</t>
  </si>
  <si>
    <t>10268037</t>
  </si>
  <si>
    <t>10268179</t>
  </si>
  <si>
    <t>10269613</t>
  </si>
  <si>
    <t>10269815</t>
  </si>
  <si>
    <t>10270229</t>
  </si>
  <si>
    <t>10270395</t>
  </si>
  <si>
    <t>10270571</t>
  </si>
  <si>
    <t>10271817</t>
  </si>
  <si>
    <t>10271822</t>
  </si>
  <si>
    <t>10272408</t>
  </si>
  <si>
    <t>10275931</t>
  </si>
  <si>
    <t>10279014</t>
  </si>
  <si>
    <t>10279514</t>
  </si>
  <si>
    <t>10279719</t>
  </si>
  <si>
    <t>10280122</t>
  </si>
  <si>
    <t>10280501</t>
  </si>
  <si>
    <t>10280506</t>
  </si>
  <si>
    <t>10282592</t>
  </si>
  <si>
    <t>10283531</t>
  </si>
  <si>
    <t>10283736</t>
  </si>
  <si>
    <t>10283902</t>
  </si>
  <si>
    <t>10284063</t>
  </si>
  <si>
    <t>10286074</t>
  </si>
  <si>
    <t>10286085</t>
  </si>
  <si>
    <t>10286169</t>
  </si>
  <si>
    <t>10286962</t>
  </si>
  <si>
    <t>10287419</t>
  </si>
  <si>
    <t>10287426</t>
  </si>
  <si>
    <t>10288129</t>
  </si>
  <si>
    <t>10288840</t>
  </si>
  <si>
    <t>10290810</t>
  </si>
  <si>
    <t>10291288</t>
  </si>
  <si>
    <t>10293395</t>
  </si>
  <si>
    <t>10293688</t>
  </si>
  <si>
    <t>10293696</t>
  </si>
  <si>
    <t>10293698</t>
  </si>
  <si>
    <t>10294036</t>
  </si>
  <si>
    <t>10295001</t>
  </si>
  <si>
    <t>10297976</t>
  </si>
  <si>
    <t>10298126</t>
  </si>
  <si>
    <t>10298283</t>
  </si>
  <si>
    <t>10298291</t>
  </si>
  <si>
    <t>10300251</t>
  </si>
  <si>
    <t>10300256</t>
  </si>
  <si>
    <t>10300993</t>
  </si>
  <si>
    <t>10301187</t>
  </si>
  <si>
    <t>10301190</t>
  </si>
  <si>
    <t>10301192</t>
  </si>
  <si>
    <t>10301193</t>
  </si>
  <si>
    <t>10304300</t>
  </si>
  <si>
    <t>10307726</t>
  </si>
  <si>
    <t>10310949</t>
  </si>
  <si>
    <t>10311019</t>
  </si>
  <si>
    <t>10311023</t>
  </si>
  <si>
    <t>10311043</t>
  </si>
  <si>
    <t>10311088</t>
  </si>
  <si>
    <t>10311174</t>
  </si>
  <si>
    <t>10311178</t>
  </si>
  <si>
    <t>10311239</t>
  </si>
  <si>
    <t>10313069</t>
  </si>
  <si>
    <t>10315066</t>
  </si>
  <si>
    <t>10315103</t>
  </si>
  <si>
    <t>10315933</t>
  </si>
  <si>
    <t>10316793</t>
  </si>
  <si>
    <t>10316797</t>
  </si>
  <si>
    <t>10317111</t>
  </si>
  <si>
    <t>10317119</t>
  </si>
  <si>
    <t>10317121</t>
  </si>
  <si>
    <t>10317124</t>
  </si>
  <si>
    <t>10321103</t>
  </si>
  <si>
    <t>10321106</t>
  </si>
  <si>
    <t>10323554</t>
  </si>
  <si>
    <t>10323560</t>
  </si>
  <si>
    <t>10324425</t>
  </si>
  <si>
    <t>10325019</t>
  </si>
  <si>
    <t>10325899</t>
  </si>
  <si>
    <t>10326704</t>
  </si>
  <si>
    <t>10330030</t>
  </si>
  <si>
    <t>10330031</t>
  </si>
  <si>
    <t>10330412</t>
  </si>
  <si>
    <t>10330851</t>
  </si>
  <si>
    <t>10330892</t>
  </si>
  <si>
    <t>10330897</t>
  </si>
  <si>
    <t>10335174</t>
  </si>
  <si>
    <t>10335176</t>
  </si>
  <si>
    <t>10335814</t>
  </si>
  <si>
    <t>10335931</t>
  </si>
  <si>
    <t>10336315</t>
  </si>
  <si>
    <t>10340251</t>
  </si>
  <si>
    <t>10340254</t>
  </si>
  <si>
    <t>10340486</t>
  </si>
  <si>
    <t>10340516</t>
  </si>
  <si>
    <t>10342827</t>
  </si>
  <si>
    <t>10342836</t>
  </si>
  <si>
    <t>10346767</t>
  </si>
  <si>
    <t>10347172</t>
  </si>
  <si>
    <t>10347215</t>
  </si>
  <si>
    <t>10347405</t>
  </si>
  <si>
    <t>10347411</t>
  </si>
  <si>
    <t>10347412</t>
  </si>
  <si>
    <t>10347925</t>
  </si>
  <si>
    <t>10348873</t>
  </si>
  <si>
    <t>10348874</t>
  </si>
  <si>
    <t>10348878</t>
  </si>
  <si>
    <t>10348879</t>
  </si>
  <si>
    <t>10349856</t>
  </si>
  <si>
    <t>10354752</t>
  </si>
  <si>
    <t>10354818</t>
  </si>
  <si>
    <t>10354819</t>
  </si>
  <si>
    <t>10354857</t>
  </si>
  <si>
    <t>10354866</t>
  </si>
  <si>
    <t>10355088</t>
  </si>
  <si>
    <t>10355499</t>
  </si>
  <si>
    <t>10356355</t>
  </si>
  <si>
    <t>10356357</t>
  </si>
  <si>
    <t>10356358</t>
  </si>
  <si>
    <t>10359062</t>
  </si>
  <si>
    <t>10359250</t>
  </si>
  <si>
    <t>10361219</t>
  </si>
  <si>
    <t>10361621</t>
  </si>
  <si>
    <t>10361991</t>
  </si>
  <si>
    <t>10364709</t>
  </si>
  <si>
    <t>10365403</t>
  </si>
  <si>
    <t>10368452</t>
  </si>
  <si>
    <t>10368454</t>
  </si>
  <si>
    <t>10368457</t>
  </si>
  <si>
    <t>10371212</t>
  </si>
  <si>
    <t>10371339</t>
  </si>
  <si>
    <t>10373131</t>
  </si>
  <si>
    <t>10374694</t>
  </si>
  <si>
    <t>10381186</t>
  </si>
  <si>
    <t>10381955</t>
  </si>
  <si>
    <t>10382275</t>
  </si>
  <si>
    <t>10382291</t>
  </si>
  <si>
    <t>10383727</t>
  </si>
  <si>
    <t>10387484</t>
  </si>
  <si>
    <t>10387877</t>
  </si>
  <si>
    <t>10391495</t>
  </si>
  <si>
    <t>10391748</t>
  </si>
  <si>
    <t>10391754</t>
  </si>
  <si>
    <t>10391780</t>
  </si>
  <si>
    <t>10393065</t>
  </si>
  <si>
    <t>10393448</t>
  </si>
  <si>
    <t>10395817</t>
  </si>
  <si>
    <t>10397289</t>
  </si>
  <si>
    <t>10397363</t>
  </si>
  <si>
    <t>10403641</t>
  </si>
  <si>
    <t>10403948</t>
  </si>
  <si>
    <t>10407189</t>
  </si>
  <si>
    <t>10407980</t>
  </si>
  <si>
    <t>10408252</t>
  </si>
  <si>
    <t>10411282</t>
  </si>
  <si>
    <t>10411729</t>
  </si>
  <si>
    <t>10411793</t>
  </si>
  <si>
    <t>10414527</t>
  </si>
  <si>
    <t>10415832</t>
  </si>
  <si>
    <t>10415833</t>
  </si>
  <si>
    <t>10415926</t>
  </si>
  <si>
    <t>10416146</t>
  </si>
  <si>
    <t>10416591</t>
  </si>
  <si>
    <t>10416597</t>
  </si>
  <si>
    <t>10416783</t>
  </si>
  <si>
    <t>10416981</t>
  </si>
  <si>
    <t>10416983</t>
  </si>
  <si>
    <t>10417636</t>
  </si>
  <si>
    <t>10417878</t>
  </si>
  <si>
    <t>10419218</t>
  </si>
  <si>
    <t>10419545</t>
  </si>
  <si>
    <t>10425346</t>
  </si>
  <si>
    <t>10425352</t>
  </si>
  <si>
    <t>10425353</t>
  </si>
  <si>
    <t>10425361</t>
  </si>
  <si>
    <t>10425362</t>
  </si>
  <si>
    <t>10425415</t>
  </si>
  <si>
    <t>10425812</t>
  </si>
  <si>
    <t>10425920</t>
  </si>
  <si>
    <t>10425927</t>
  </si>
  <si>
    <t>10425956</t>
  </si>
  <si>
    <t>10428019</t>
  </si>
  <si>
    <t>10428024</t>
  </si>
  <si>
    <t>10431095</t>
  </si>
  <si>
    <t>10431296</t>
  </si>
  <si>
    <t>10431589</t>
  </si>
  <si>
    <t>10433066</t>
  </si>
  <si>
    <t>10435774</t>
  </si>
  <si>
    <t>10435775</t>
  </si>
  <si>
    <t>10435776</t>
  </si>
  <si>
    <t>10435937</t>
  </si>
  <si>
    <t>10435992</t>
  </si>
  <si>
    <t>10435994</t>
  </si>
  <si>
    <t>10435995</t>
  </si>
  <si>
    <t>10435996</t>
  </si>
  <si>
    <t>10435998</t>
  </si>
  <si>
    <t>10436391</t>
  </si>
  <si>
    <t>10439042</t>
  </si>
  <si>
    <t>10439154</t>
  </si>
  <si>
    <t>10439155</t>
  </si>
  <si>
    <t>10439215</t>
  </si>
  <si>
    <t>10440165</t>
  </si>
  <si>
    <t>10443322</t>
  </si>
  <si>
    <t>10445547</t>
  </si>
  <si>
    <t>10447724</t>
  </si>
  <si>
    <t>10447726</t>
  </si>
  <si>
    <t>10447728</t>
  </si>
  <si>
    <t>10448526</t>
  </si>
  <si>
    <t>10449039</t>
  </si>
  <si>
    <t>10449040</t>
  </si>
  <si>
    <t>10463074</t>
  </si>
  <si>
    <t>10465576</t>
  </si>
  <si>
    <t>10468422</t>
  </si>
  <si>
    <t>10469382</t>
  </si>
  <si>
    <t>10475269</t>
  </si>
  <si>
    <t>10478390</t>
  </si>
  <si>
    <t>10479848</t>
  </si>
  <si>
    <t>10481922</t>
  </si>
  <si>
    <t>10481928</t>
  </si>
  <si>
    <t>10481941</t>
  </si>
  <si>
    <t>10482039</t>
  </si>
  <si>
    <t>10484082</t>
  </si>
  <si>
    <t>10484510</t>
  </si>
  <si>
    <t>10485843</t>
  </si>
  <si>
    <t>10485849</t>
  </si>
  <si>
    <t>10490852</t>
  </si>
  <si>
    <t>10491233</t>
  </si>
  <si>
    <t>10491557</t>
  </si>
  <si>
    <t>10498521</t>
  </si>
  <si>
    <t>10498530</t>
  </si>
  <si>
    <t>10498533</t>
  </si>
  <si>
    <t>10499113</t>
  </si>
  <si>
    <t>10502546</t>
  </si>
  <si>
    <t>10503537</t>
  </si>
  <si>
    <t>10509946</t>
  </si>
  <si>
    <t>10509948</t>
  </si>
  <si>
    <t>10509951</t>
  </si>
  <si>
    <t>10509954</t>
  </si>
  <si>
    <t>10509955</t>
  </si>
  <si>
    <t>10509958</t>
  </si>
  <si>
    <t>10509959</t>
  </si>
  <si>
    <t>10509978</t>
  </si>
  <si>
    <t>10509981</t>
  </si>
  <si>
    <t>10512892</t>
  </si>
  <si>
    <t>10513339</t>
  </si>
  <si>
    <t>10516140</t>
  </si>
  <si>
    <t>10516218</t>
  </si>
  <si>
    <t>10516428</t>
  </si>
  <si>
    <t>10517802</t>
  </si>
  <si>
    <t>10520117</t>
  </si>
  <si>
    <t>10523312</t>
  </si>
  <si>
    <t>10527084</t>
  </si>
  <si>
    <t>10531417</t>
  </si>
  <si>
    <t>10531419</t>
  </si>
  <si>
    <t>10531423</t>
  </si>
  <si>
    <t>10532312</t>
  </si>
  <si>
    <t>10536445</t>
  </si>
  <si>
    <t>10536446</t>
  </si>
  <si>
    <t>10536447</t>
  </si>
  <si>
    <t>10549057</t>
  </si>
  <si>
    <t>10550467</t>
  </si>
  <si>
    <t>10550471</t>
  </si>
  <si>
    <t>10554225</t>
  </si>
  <si>
    <t>10563662</t>
  </si>
  <si>
    <t>10563665</t>
  </si>
  <si>
    <t>10563670</t>
  </si>
  <si>
    <t>10568270</t>
  </si>
  <si>
    <t>10573046</t>
  </si>
  <si>
    <t>10574417</t>
  </si>
  <si>
    <t>10574853</t>
  </si>
  <si>
    <t>10582274</t>
  </si>
  <si>
    <t>10582552</t>
  </si>
  <si>
    <t>10590407</t>
  </si>
  <si>
    <t>10594308</t>
  </si>
  <si>
    <t>10594851</t>
  </si>
  <si>
    <t>10608538</t>
  </si>
  <si>
    <t>10609101</t>
  </si>
  <si>
    <t>10609318</t>
  </si>
  <si>
    <t>10610894</t>
  </si>
  <si>
    <t>10610931</t>
  </si>
  <si>
    <t>10613221</t>
  </si>
  <si>
    <t>10613222</t>
  </si>
  <si>
    <t>10613803</t>
  </si>
  <si>
    <t>10627024</t>
  </si>
  <si>
    <t>10627052</t>
  </si>
  <si>
    <t>10630179</t>
  </si>
  <si>
    <t>10630634</t>
  </si>
  <si>
    <t>10632302</t>
  </si>
  <si>
    <t>10632630</t>
  </si>
  <si>
    <t>10634275</t>
  </si>
  <si>
    <t>10635224</t>
  </si>
  <si>
    <t>10635256</t>
  </si>
  <si>
    <t>10650056</t>
  </si>
  <si>
    <t>10747700</t>
  </si>
  <si>
    <t>10770794</t>
  </si>
  <si>
    <t>10771645</t>
  </si>
  <si>
    <t>10793583</t>
  </si>
  <si>
    <t>10808198</t>
  </si>
  <si>
    <t>10842652</t>
  </si>
  <si>
    <t>10916161</t>
  </si>
  <si>
    <t>10918004</t>
  </si>
  <si>
    <t>10918006</t>
  </si>
  <si>
    <t>10920084</t>
  </si>
  <si>
    <t>10930358</t>
  </si>
  <si>
    <t>10937493</t>
  </si>
  <si>
    <t>10943122</t>
  </si>
  <si>
    <t>10972385</t>
  </si>
  <si>
    <t>10985125</t>
  </si>
  <si>
    <t>11004893</t>
  </si>
  <si>
    <t>11004974</t>
  </si>
  <si>
    <t>11007001</t>
  </si>
  <si>
    <t>11007803</t>
  </si>
  <si>
    <t>11027923</t>
  </si>
  <si>
    <t>11047529</t>
  </si>
  <si>
    <t>11047571</t>
  </si>
  <si>
    <t>11052015</t>
  </si>
  <si>
    <t>11052358</t>
  </si>
  <si>
    <t>11053532</t>
  </si>
  <si>
    <t>11059960</t>
  </si>
  <si>
    <t>11065447</t>
  </si>
  <si>
    <t>11065482</t>
  </si>
  <si>
    <t>11069788</t>
  </si>
  <si>
    <t>11072052</t>
  </si>
  <si>
    <t>11072914</t>
  </si>
  <si>
    <t>11089423</t>
  </si>
  <si>
    <t>11094452</t>
  </si>
  <si>
    <t>11098802</t>
  </si>
  <si>
    <t>11105583</t>
  </si>
  <si>
    <t>11106804</t>
  </si>
  <si>
    <t>11106815</t>
  </si>
  <si>
    <t>11107160</t>
  </si>
  <si>
    <t>11108470</t>
  </si>
  <si>
    <t>11108473</t>
  </si>
  <si>
    <t>11108490</t>
  </si>
  <si>
    <t>11108688</t>
  </si>
  <si>
    <t>11110717</t>
  </si>
  <si>
    <t>11112883</t>
  </si>
  <si>
    <t>11114162</t>
  </si>
  <si>
    <t>11114196</t>
  </si>
  <si>
    <t>11114873</t>
  </si>
  <si>
    <t>11720678</t>
  </si>
  <si>
    <t>0800001925</t>
  </si>
  <si>
    <t>0800001503</t>
  </si>
  <si>
    <t>0800001923</t>
  </si>
  <si>
    <t>0800001911</t>
  </si>
  <si>
    <t>0800001968</t>
  </si>
  <si>
    <t>0800001934</t>
  </si>
  <si>
    <t>0800001919</t>
  </si>
  <si>
    <t>0800001915</t>
  </si>
  <si>
    <t>0800001927</t>
  </si>
  <si>
    <t>0800001956</t>
  </si>
  <si>
    <t>0800002028</t>
  </si>
  <si>
    <t>0800002047</t>
  </si>
  <si>
    <t>0800000378</t>
  </si>
  <si>
    <t>0800001949</t>
  </si>
  <si>
    <t>0800001921</t>
  </si>
  <si>
    <t>0800001512</t>
  </si>
  <si>
    <t>0800000383</t>
  </si>
  <si>
    <t>0800003250</t>
  </si>
  <si>
    <t>0800000375</t>
  </si>
  <si>
    <t>0800001914</t>
  </si>
  <si>
    <t>0800000371</t>
  </si>
  <si>
    <t>0800000373</t>
  </si>
  <si>
    <t>0800003283</t>
  </si>
  <si>
    <t>0800000380</t>
  </si>
  <si>
    <t>0800001523</t>
  </si>
  <si>
    <t>0800000384</t>
  </si>
  <si>
    <t>0800001972</t>
  </si>
  <si>
    <t>0800003245</t>
  </si>
  <si>
    <t>0800003239</t>
  </si>
  <si>
    <t>0800002010</t>
  </si>
  <si>
    <t>0800001989</t>
  </si>
  <si>
    <t>0800001501</t>
  </si>
  <si>
    <t>0800000093</t>
  </si>
  <si>
    <t>0800003183</t>
  </si>
  <si>
    <t>0800001912</t>
  </si>
  <si>
    <t>0800003219</t>
  </si>
  <si>
    <t>0800003224</t>
  </si>
  <si>
    <t>0800002004</t>
  </si>
  <si>
    <t>0800001935</t>
  </si>
  <si>
    <t>0800001941</t>
  </si>
  <si>
    <t>0800000372</t>
  </si>
  <si>
    <t>0800000377</t>
  </si>
  <si>
    <t>0800002039</t>
  </si>
  <si>
    <t>0800002063</t>
  </si>
  <si>
    <t>0800001974</t>
  </si>
  <si>
    <t>0800001999</t>
  </si>
  <si>
    <t>0800001900</t>
  </si>
  <si>
    <t>0800001537</t>
  </si>
  <si>
    <t>0800003306</t>
  </si>
  <si>
    <t>0800003247</t>
  </si>
  <si>
    <t>0800001950</t>
  </si>
  <si>
    <t>0800003311</t>
  </si>
  <si>
    <t>0800001905</t>
  </si>
  <si>
    <t>0800003278</t>
  </si>
  <si>
    <t>0800003240</t>
  </si>
  <si>
    <t>0800001986</t>
  </si>
  <si>
    <t>0800001906</t>
  </si>
  <si>
    <t>0800001917</t>
  </si>
  <si>
    <t>0800001948</t>
  </si>
  <si>
    <t>0800000379</t>
  </si>
  <si>
    <t>0800000398</t>
  </si>
  <si>
    <t>0800003200</t>
  </si>
  <si>
    <t>0800002074</t>
  </si>
  <si>
    <t>0800001975</t>
  </si>
  <si>
    <t>0800003236</t>
  </si>
  <si>
    <t>0800003209</t>
  </si>
  <si>
    <t>0800002044</t>
  </si>
  <si>
    <t>0800001524</t>
  </si>
  <si>
    <t>0800003178</t>
  </si>
  <si>
    <t>0800003264</t>
  </si>
  <si>
    <t>0800003179</t>
  </si>
  <si>
    <t>0800002061</t>
  </si>
  <si>
    <t>0800001529</t>
  </si>
  <si>
    <t>0800001965</t>
  </si>
  <si>
    <t>0800000374</t>
  </si>
  <si>
    <t>0800002019</t>
  </si>
  <si>
    <t>0800001904</t>
  </si>
  <si>
    <t>0800000382</t>
  </si>
  <si>
    <t>0800001947</t>
  </si>
  <si>
    <t>0800002060</t>
  </si>
  <si>
    <t>0800003232</t>
  </si>
  <si>
    <t>0800000399</t>
  </si>
  <si>
    <t>0800002069</t>
  </si>
  <si>
    <t>0800002036</t>
  </si>
  <si>
    <t>0800003291</t>
  </si>
  <si>
    <t>0800002003</t>
  </si>
  <si>
    <t>0800001992</t>
  </si>
  <si>
    <t>0800001969</t>
  </si>
  <si>
    <t>0800001922</t>
  </si>
  <si>
    <t>0800002008</t>
  </si>
  <si>
    <t>0800001908</t>
  </si>
  <si>
    <t>0800001960</t>
  </si>
  <si>
    <t>0800001963</t>
  </si>
  <si>
    <t>0800001973</t>
  </si>
  <si>
    <t>0800002058</t>
  </si>
  <si>
    <t>0800002012</t>
  </si>
  <si>
    <t>0800002045</t>
  </si>
  <si>
    <t>0800001991</t>
  </si>
  <si>
    <t>0800001977</t>
  </si>
  <si>
    <t>0800002046</t>
  </si>
  <si>
    <t>0800001938</t>
  </si>
  <si>
    <t>0800001498</t>
  </si>
  <si>
    <t>0800003275</t>
  </si>
  <si>
    <t>0800003259</t>
  </si>
  <si>
    <t>0800003202</t>
  </si>
  <si>
    <t>0800003162</t>
  </si>
  <si>
    <t>0800003221</t>
  </si>
  <si>
    <t>0800001907</t>
  </si>
  <si>
    <t>0800002048</t>
  </si>
  <si>
    <t>0800001504</t>
  </si>
  <si>
    <t>0800003175</t>
  </si>
  <si>
    <t>0800003192</t>
  </si>
  <si>
    <t>0800003182</t>
  </si>
  <si>
    <t>0800000386</t>
  </si>
  <si>
    <t>0800001970</t>
  </si>
  <si>
    <t>0800002001</t>
  </si>
  <si>
    <t>0800000397</t>
  </si>
  <si>
    <t>0800002014</t>
  </si>
  <si>
    <t>0800000393</t>
  </si>
  <si>
    <t>0800002040</t>
  </si>
  <si>
    <t>0800001990</t>
  </si>
  <si>
    <t>0800002018</t>
  </si>
  <si>
    <t>0800003220</t>
  </si>
  <si>
    <t>0800003262</t>
  </si>
  <si>
    <t>0800003243</t>
  </si>
  <si>
    <t>0800003263</t>
  </si>
  <si>
    <t>0800003317</t>
  </si>
  <si>
    <t>0800000381</t>
  </si>
  <si>
    <t>0800000403</t>
  </si>
  <si>
    <t>0800001913</t>
  </si>
  <si>
    <t>0800001998</t>
  </si>
  <si>
    <t>0800003242</t>
  </si>
  <si>
    <t>0800002062</t>
  </si>
  <si>
    <t>0800001521</t>
  </si>
  <si>
    <t>0800003261</t>
  </si>
  <si>
    <t>0800003241</t>
  </si>
  <si>
    <t>0800003290</t>
  </si>
  <si>
    <t>0800003276</t>
  </si>
  <si>
    <t>0800001902</t>
  </si>
  <si>
    <t>0800003253</t>
  </si>
  <si>
    <t>0800002057</t>
  </si>
  <si>
    <t>0800002051</t>
  </si>
  <si>
    <t>0800002066</t>
  </si>
  <si>
    <t>0800001966</t>
  </si>
  <si>
    <t>0800000388</t>
  </si>
  <si>
    <t>0800002065</t>
  </si>
  <si>
    <t>0800002037</t>
  </si>
  <si>
    <t>0800002053</t>
  </si>
  <si>
    <t>0800000404</t>
  </si>
  <si>
    <t>0800002042</t>
  </si>
  <si>
    <t>0800001525</t>
  </si>
  <si>
    <t>0800002005</t>
  </si>
  <si>
    <t>0800000394</t>
  </si>
  <si>
    <t>0800003323</t>
  </si>
  <si>
    <t>0800002021</t>
  </si>
  <si>
    <t>0800001981</t>
  </si>
  <si>
    <t>0800000402</t>
  </si>
  <si>
    <t>0800003246</t>
  </si>
  <si>
    <t>0800000369</t>
  </si>
  <si>
    <t>0800002011</t>
  </si>
  <si>
    <t>0800000389</t>
  </si>
  <si>
    <t>0800001527</t>
  </si>
  <si>
    <t>0800000368</t>
  </si>
  <si>
    <t>0800001980</t>
  </si>
  <si>
    <t>0800003329</t>
  </si>
  <si>
    <t>0800001540</t>
  </si>
  <si>
    <t>0800001993</t>
  </si>
  <si>
    <t>0800002068</t>
  </si>
  <si>
    <t>0800001983</t>
  </si>
  <si>
    <t>0800002032</t>
  </si>
  <si>
    <t>0800002020</t>
  </si>
  <si>
    <t>0800002029</t>
  </si>
  <si>
    <t>0800001544</t>
  </si>
  <si>
    <t>0800000405</t>
  </si>
  <si>
    <t>0800002007</t>
  </si>
  <si>
    <t>0800000396</t>
  </si>
  <si>
    <t>0800003195</t>
  </si>
  <si>
    <t>0800003299</t>
  </si>
  <si>
    <t>0800003251</t>
  </si>
  <si>
    <t>0800001530</t>
  </si>
  <si>
    <t>0800002078</t>
  </si>
  <si>
    <t>0800003252</t>
  </si>
  <si>
    <t>0800001534</t>
  </si>
  <si>
    <t>0800000395</t>
  </si>
  <si>
    <t>0800003309</t>
  </si>
  <si>
    <t>0800001526</t>
  </si>
  <si>
    <t>0800001545</t>
  </si>
  <si>
    <t>0800003287</t>
  </si>
  <si>
    <t>0800001995</t>
  </si>
  <si>
    <t>0800002073</t>
  </si>
  <si>
    <t>0800003268</t>
  </si>
  <si>
    <t>0800003260</t>
  </si>
  <si>
    <t>0800003235</t>
  </si>
  <si>
    <t>0800003302</t>
  </si>
  <si>
    <t>0800003280</t>
  </si>
  <si>
    <t>0800003248</t>
  </si>
  <si>
    <t>0800003255</t>
  </si>
  <si>
    <t>0800003254</t>
  </si>
  <si>
    <t>0800001531</t>
  </si>
  <si>
    <t>0800001528</t>
  </si>
  <si>
    <t>0800001988</t>
  </si>
  <si>
    <t>0800001932</t>
  </si>
  <si>
    <t>0800002075</t>
  </si>
  <si>
    <t>0800002024</t>
  </si>
  <si>
    <t>0800003266</t>
  </si>
  <si>
    <t>0800001910</t>
  </si>
  <si>
    <t>0800003285</t>
  </si>
  <si>
    <t>0800003269</t>
  </si>
  <si>
    <t>0800003258</t>
  </si>
  <si>
    <t>0800001535</t>
  </si>
  <si>
    <t>0800003277</t>
  </si>
  <si>
    <t>0800003256</t>
  </si>
  <si>
    <t>0800003318</t>
  </si>
  <si>
    <t>0800001532</t>
  </si>
  <si>
    <t>0800003305</t>
  </si>
  <si>
    <t>0800000391</t>
  </si>
  <si>
    <t>0800003331</t>
  </si>
  <si>
    <t>0800002006</t>
  </si>
  <si>
    <t>0800002067</t>
  </si>
  <si>
    <t>0800003267</t>
  </si>
  <si>
    <t>0800003227</t>
  </si>
  <si>
    <t>0800002031</t>
  </si>
  <si>
    <t>0800000401</t>
  </si>
  <si>
    <t>0800003326</t>
  </si>
  <si>
    <t>0800003265</t>
  </si>
  <si>
    <t>0800003308</t>
  </si>
  <si>
    <t>0800000400</t>
  </si>
  <si>
    <t>0800002043</t>
  </si>
  <si>
    <t>0800002052</t>
  </si>
  <si>
    <t>0800002082</t>
  </si>
  <si>
    <t>0800003270</t>
  </si>
  <si>
    <t>0800000407</t>
  </si>
  <si>
    <t>0800003094</t>
  </si>
  <si>
    <t>0800003098</t>
  </si>
  <si>
    <t>0800003093</t>
  </si>
  <si>
    <t>0800001538</t>
  </si>
  <si>
    <t>0800003257</t>
  </si>
  <si>
    <t>0800003294</t>
  </si>
  <si>
    <t>0800003327</t>
  </si>
  <si>
    <t>0800000376</t>
  </si>
  <si>
    <t>0800003314</t>
  </si>
  <si>
    <t>0800003301</t>
  </si>
  <si>
    <t>0800002083</t>
  </si>
  <si>
    <t>0800002079</t>
  </si>
  <si>
    <t>0800000367</t>
  </si>
  <si>
    <t>0800001546</t>
  </si>
  <si>
    <t>0800002076</t>
  </si>
  <si>
    <t>0800002085</t>
  </si>
  <si>
    <t>0800000390</t>
  </si>
  <si>
    <t>0800000387</t>
  </si>
  <si>
    <t>0800000385</t>
  </si>
  <si>
    <t>0800002038</t>
  </si>
  <si>
    <t>0800003298</t>
  </si>
  <si>
    <t>0800003292</t>
  </si>
  <si>
    <t>0800003330</t>
  </si>
  <si>
    <t>0800003300</t>
  </si>
  <si>
    <t>0800003321</t>
  </si>
  <si>
    <t>0800003312</t>
  </si>
  <si>
    <t>0800003297</t>
  </si>
  <si>
    <t>0800003274</t>
  </si>
  <si>
    <t>0800003324</t>
  </si>
  <si>
    <t>0800003288</t>
  </si>
  <si>
    <t>0800003307</t>
  </si>
  <si>
    <t>0800003319</t>
  </si>
  <si>
    <t>0800001547</t>
  </si>
  <si>
    <t>0800003273</t>
  </si>
  <si>
    <t>0800003322</t>
  </si>
  <si>
    <t>0800003328</t>
  </si>
  <si>
    <t>0800003281</t>
  </si>
  <si>
    <t>0800001916</t>
  </si>
  <si>
    <t>0800003303</t>
  </si>
  <si>
    <t>0800002081</t>
  </si>
  <si>
    <t>0800002072</t>
  </si>
  <si>
    <t>0800001903</t>
  </si>
  <si>
    <t>0800000392</t>
  </si>
  <si>
    <t>0800003272</t>
  </si>
  <si>
    <t>0800003310</t>
  </si>
  <si>
    <t>0800003271</t>
  </si>
  <si>
    <t>0800001533</t>
  </si>
  <si>
    <t>0800003304</t>
  </si>
  <si>
    <t>0800003335</t>
  </si>
  <si>
    <t>0800003295</t>
  </si>
  <si>
    <t>0800003320</t>
  </si>
  <si>
    <t>0800003286</t>
  </si>
  <si>
    <t>0800003279</t>
  </si>
  <si>
    <t>0800001548</t>
  </si>
  <si>
    <t>0800003282</t>
  </si>
  <si>
    <t>0800003334</t>
  </si>
  <si>
    <t>0800003313</t>
  </si>
  <si>
    <t>0800002070</t>
  </si>
  <si>
    <t>0800002000</t>
  </si>
  <si>
    <t>0800003325</t>
  </si>
  <si>
    <t>0800002034</t>
  </si>
  <si>
    <t>0800002050</t>
  </si>
  <si>
    <t>0800001542</t>
  </si>
  <si>
    <t>0800001536</t>
  </si>
  <si>
    <t>0800000363</t>
  </si>
  <si>
    <t>0800001539</t>
  </si>
  <si>
    <t>0800001543</t>
  </si>
  <si>
    <t>0800000364</t>
  </si>
  <si>
    <t>0800000406</t>
  </si>
  <si>
    <t>0800001541</t>
  </si>
  <si>
    <t>0800001899</t>
  </si>
  <si>
    <t>0800002080</t>
  </si>
  <si>
    <t>0800003284</t>
  </si>
  <si>
    <t>0800003289</t>
  </si>
  <si>
    <t>0800002084</t>
  </si>
  <si>
    <t>0800002077</t>
  </si>
  <si>
    <t>0800002023</t>
  </si>
  <si>
    <t>0800002035</t>
  </si>
  <si>
    <t>0800001985</t>
  </si>
  <si>
    <t>0800000365</t>
  </si>
  <si>
    <t>0800000366</t>
  </si>
  <si>
    <t>0800003086</t>
  </si>
  <si>
    <t>0800003087</t>
  </si>
  <si>
    <t>0800003088</t>
  </si>
  <si>
    <t>0800001962</t>
  </si>
  <si>
    <t>0800002002</t>
  </si>
  <si>
    <t>0800002022</t>
  </si>
  <si>
    <t>0800002055</t>
  </si>
  <si>
    <t>0800003293</t>
  </si>
  <si>
    <t>0800003211</t>
  </si>
  <si>
    <t>0800003356</t>
  </si>
  <si>
    <t>0800003357</t>
  </si>
  <si>
    <t>0800003164</t>
  </si>
  <si>
    <t>0800003169</t>
  </si>
  <si>
    <t>0800003358</t>
  </si>
  <si>
    <t>0800003359</t>
  </si>
  <si>
    <t>0800001515</t>
  </si>
  <si>
    <t>0800003149</t>
  </si>
  <si>
    <t>0800003354</t>
  </si>
  <si>
    <t>0800003355</t>
  </si>
  <si>
    <t>0800001510</t>
  </si>
  <si>
    <t>0800001557</t>
  </si>
  <si>
    <t>0800001558</t>
  </si>
  <si>
    <t>0800003144</t>
  </si>
  <si>
    <t>0800003346</t>
  </si>
  <si>
    <t>0800003347</t>
  </si>
  <si>
    <t>0800001514</t>
  </si>
  <si>
    <t>0800001567</t>
  </si>
  <si>
    <t>0800001568</t>
  </si>
  <si>
    <t>0800001506</t>
  </si>
  <si>
    <t>0800001565</t>
  </si>
  <si>
    <t>0800001566</t>
  </si>
  <si>
    <t>0800003176</t>
  </si>
  <si>
    <t>0800003184</t>
  </si>
  <si>
    <t>0800003186</t>
  </si>
  <si>
    <t>0800003156</t>
  </si>
  <si>
    <t>0800001495</t>
  </si>
  <si>
    <t>0800001559</t>
  </si>
  <si>
    <t>0800001560</t>
  </si>
  <si>
    <t>0800003207</t>
  </si>
  <si>
    <t>0800003315</t>
  </si>
  <si>
    <t>0800003316</t>
  </si>
  <si>
    <t>0800001508</t>
  </si>
  <si>
    <t>0800001549</t>
  </si>
  <si>
    <t>0800001550</t>
  </si>
  <si>
    <t>0800003155</t>
  </si>
  <si>
    <t>0800003342</t>
  </si>
  <si>
    <t>0800003343</t>
  </si>
  <si>
    <t>0800003158</t>
  </si>
  <si>
    <t>0800003370</t>
  </si>
  <si>
    <t>0800003371</t>
  </si>
  <si>
    <t>0800003170</t>
  </si>
  <si>
    <t>0800003340</t>
  </si>
  <si>
    <t>0800003341</t>
  </si>
  <si>
    <t>0800003185</t>
  </si>
  <si>
    <t>0800003174</t>
  </si>
  <si>
    <t>0800003344</t>
  </si>
  <si>
    <t>0800003345</t>
  </si>
  <si>
    <t>0800003228</t>
  </si>
  <si>
    <t>0800003338</t>
  </si>
  <si>
    <t>0800003339</t>
  </si>
  <si>
    <t>0800001509</t>
  </si>
  <si>
    <t>0800001563</t>
  </si>
  <si>
    <t>0800001564</t>
  </si>
  <si>
    <t>0800001499</t>
  </si>
  <si>
    <t>0800001551</t>
  </si>
  <si>
    <t>0800001552</t>
  </si>
  <si>
    <t>0800001505</t>
  </si>
  <si>
    <t>0800001553</t>
  </si>
  <si>
    <t>0800001554</t>
  </si>
  <si>
    <t>0800003161</t>
  </si>
  <si>
    <t>0800003348</t>
  </si>
  <si>
    <t>0800003349</t>
  </si>
  <si>
    <t>0800001489</t>
  </si>
  <si>
    <t>0800001561</t>
  </si>
  <si>
    <t>0800001562</t>
  </si>
  <si>
    <t>0800003159</t>
  </si>
  <si>
    <t>0800003366</t>
  </si>
  <si>
    <t>0800003368</t>
  </si>
  <si>
    <t>0800001518</t>
  </si>
  <si>
    <t>0800001555</t>
  </si>
  <si>
    <t>0800001556</t>
  </si>
  <si>
    <t>0800001519</t>
  </si>
  <si>
    <t>0800003167</t>
  </si>
  <si>
    <t>0800003193</t>
  </si>
  <si>
    <t>0800003361</t>
  </si>
  <si>
    <t>0800003363</t>
  </si>
  <si>
    <t>0800003146</t>
  </si>
  <si>
    <t>0800003367</t>
  </si>
  <si>
    <t>0800003369</t>
  </si>
  <si>
    <t>0800003206</t>
  </si>
  <si>
    <t>0800003364</t>
  </si>
  <si>
    <t>0800003365</t>
  </si>
  <si>
    <t>0800003212</t>
  </si>
  <si>
    <t>0800003336</t>
  </si>
  <si>
    <t>0800003337</t>
  </si>
  <si>
    <t>0800003157</t>
  </si>
  <si>
    <t>0800003203</t>
  </si>
  <si>
    <t>0800003360</t>
  </si>
  <si>
    <t>0800003362</t>
  </si>
  <si>
    <t>0800003190</t>
  </si>
  <si>
    <t>0800003191</t>
  </si>
  <si>
    <t>0800003217</t>
  </si>
  <si>
    <t>0800003198</t>
  </si>
  <si>
    <t>0800003189</t>
  </si>
  <si>
    <t>0800003215</t>
  </si>
  <si>
    <t>0800003350</t>
  </si>
  <si>
    <t>0800003352</t>
  </si>
  <si>
    <t>0800003196</t>
  </si>
  <si>
    <t>0800003351</t>
  </si>
  <si>
    <t>0800003353</t>
  </si>
  <si>
    <t>0800003150</t>
  </si>
  <si>
    <t>0800003332</t>
  </si>
  <si>
    <t>0800003333</t>
  </si>
  <si>
    <t>0800001479</t>
  </si>
  <si>
    <t>190,00</t>
  </si>
  <si>
    <t>10,00</t>
  </si>
  <si>
    <t>13,00</t>
  </si>
  <si>
    <t>22,00</t>
  </si>
  <si>
    <t>222,00</t>
  </si>
  <si>
    <t>42,90</t>
  </si>
  <si>
    <t>3,00</t>
  </si>
  <si>
    <t>7,80</t>
  </si>
  <si>
    <t>12,00</t>
  </si>
  <si>
    <t>30,00</t>
  </si>
  <si>
    <t>25,00</t>
  </si>
  <si>
    <t>20,00</t>
  </si>
  <si>
    <t>33,00</t>
  </si>
  <si>
    <t>5,00</t>
  </si>
  <si>
    <t>11,00</t>
  </si>
  <si>
    <t>2/2</t>
  </si>
  <si>
    <t>T001</t>
  </si>
  <si>
    <t>21.02.2025</t>
  </si>
  <si>
    <t>1900000545</t>
  </si>
  <si>
    <t>RTP</t>
  </si>
  <si>
    <t>1.000,00</t>
  </si>
  <si>
    <t>Error</t>
  </si>
  <si>
    <t>Invoice Clearing Doc: 2000221592</t>
  </si>
  <si>
    <t>Payment Run has been carried out for this Run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</si>
</sst>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44" x14ac:knownFonts="1">
    <font>
      <sz val="11"/>
      <color theme="1"/>
      <name val="Calibri"/>
      <family val="2"/>
      <scheme val="minor"/>
    </font>
    <font>
      <sz val="11"/>
      <color theme="0"/>
      <name val="Calibri"/>
      <family val="2"/>
      <scheme val="minor"/>
    </font>
    <font>
      <sz val="10"/>
      <name val="Arial"/>
      <family val="2"/>
    </font>
    <font>
      <sz val="10"/>
      <name val="Arial"/>
      <family val="2"/>
    </font>
    <font>
      <b/>
      <i/>
      <sz val="11"/>
      <color theme="0"/>
      <name val="Arial"/>
      <family val="2"/>
    </font>
    <font>
      <sz val="10"/>
      <color theme="0"/>
      <name val="Arial"/>
      <family val="2"/>
    </font>
    <font>
      <b/>
      <sz val="12"/>
      <color theme="0"/>
      <name val="Arial"/>
      <family val="2"/>
    </font>
    <font>
      <b/>
      <sz val="9"/>
      <color theme="0"/>
      <name val="Calibri"/>
      <family val="2"/>
      <scheme val="minor"/>
    </font>
    <font>
      <b/>
      <sz val="10"/>
      <color theme="0"/>
      <name val="Arial"/>
      <family val="2"/>
    </font>
    <font>
      <sz val="11"/>
      <name val="Calibri"/>
      <family val="2"/>
      <scheme val="minor"/>
    </font>
    <font>
      <sz val="8"/>
      <name val="Calibri"/>
      <family val="2"/>
      <scheme val="minor"/>
    </font>
    <font>
      <b/>
      <sz val="11"/>
      <color theme="1"/>
      <name val="Calibri"/>
      <family val="2"/>
      <scheme val="minor"/>
    </font>
    <font>
      <sz val="8"/>
      <color theme="1"/>
      <name val="Arial"/>
      <family val="2"/>
    </font>
    <font>
      <sz val="12"/>
      <color theme="1"/>
      <name val="Calibri"/>
      <family val="2"/>
      <scheme val="minor"/>
    </font>
    <font>
      <i/>
      <sz val="11"/>
      <color theme="1"/>
      <name val="Calibri"/>
      <family val="2"/>
      <scheme val="minor"/>
    </font>
    <font>
      <b/>
      <i/>
      <sz val="11"/>
      <color theme="1"/>
      <name val="Calibri"/>
      <family val="2"/>
      <scheme val="minor"/>
    </font>
    <font>
      <i/>
      <sz val="11"/>
      <name val="Calibri"/>
      <family val="2"/>
      <scheme val="minor"/>
    </font>
    <font>
      <b/>
      <i/>
      <sz val="11"/>
      <color rgb="FFFF0000"/>
      <name val="Calibri"/>
      <family val="2"/>
      <scheme val="minor"/>
    </font>
    <font>
      <b/>
      <i/>
      <sz val="11"/>
      <name val="Calibri"/>
      <family val="2"/>
      <scheme val="minor"/>
    </font>
    <font>
      <b/>
      <sz val="12"/>
      <color theme="1"/>
      <name val="Calibri"/>
      <family val="2"/>
      <scheme val="minor"/>
    </font>
    <font>
      <b/>
      <sz val="8"/>
      <color theme="1"/>
      <name val="Arial"/>
      <family val="2"/>
    </font>
    <font>
      <b/>
      <sz val="11"/>
      <name val="Calibri"/>
      <family val="2"/>
    </font>
    <font>
      <sz val="8"/>
      <name val="Arial"/>
      <family val="2"/>
    </font>
    <font>
      <b/>
      <sz val="8"/>
      <name val="Arial"/>
      <family val="2"/>
    </font>
    <font>
      <b/>
      <sz val="11"/>
      <name val="Calibri"/>
      <family val="2"/>
      <scheme val="minor"/>
    </font>
    <font>
      <sz val="9"/>
      <color theme="1"/>
      <name val="Calibri"/>
      <family val="2"/>
      <scheme val="minor"/>
    </font>
    <font>
      <sz val="12"/>
      <color rgb="FF0070C0"/>
      <name val="Calibri"/>
      <family val="2"/>
      <scheme val="minor"/>
    </font>
    <font>
      <sz val="9"/>
      <name val="Calibri"/>
      <family val="2"/>
      <scheme val="minor"/>
    </font>
    <font>
      <sz val="12"/>
      <name val="Calibri"/>
      <family val="2"/>
      <scheme val="minor"/>
    </font>
    <font>
      <sz val="12"/>
      <color rgb="FFFF0000"/>
      <name val="Calibri"/>
      <family val="2"/>
      <scheme val="minor"/>
    </font>
    <font>
      <b/>
      <sz val="9"/>
      <name val="Calibri"/>
      <family val="2"/>
      <scheme val="minor"/>
    </font>
    <font>
      <sz val="12"/>
      <color rgb="FF0000FF"/>
      <name val="Calibri"/>
      <family val="2"/>
      <scheme val="minor"/>
    </font>
    <font>
      <b/>
      <sz val="12"/>
      <color rgb="FF0000CC"/>
      <name val="Calibri"/>
      <family val="2"/>
      <scheme val="minor"/>
    </font>
    <font>
      <b/>
      <sz val="9"/>
      <color indexed="81"/>
      <name val="Tahoma"/>
      <family val="2"/>
    </font>
    <font>
      <sz val="9"/>
      <color indexed="81"/>
      <name val="Tahoma"/>
      <family val="2"/>
    </font>
    <font>
      <b/>
      <sz val="12"/>
      <color theme="0" tint="-4.9989318521683403E-2"/>
      <name val="Arial"/>
      <family val="2"/>
    </font>
    <font>
      <sz val="10"/>
      <name val="Calibri"/>
      <family val="2"/>
      <scheme val="minor"/>
    </font>
    <font>
      <sz val="11"/>
      <color rgb="FFFF0000"/>
      <name val="Calibri"/>
      <family val="2"/>
      <scheme val="minor"/>
    </font>
    <font>
      <sz val="9"/>
      <color rgb="FF0070C0"/>
      <name val="Calibri"/>
      <family val="2"/>
      <scheme val="minor"/>
    </font>
    <font>
      <sz val="11"/>
      <color rgb="FF00B050"/>
      <name val="Calibri"/>
      <family val="2"/>
      <scheme val="minor"/>
    </font>
    <font>
      <b/>
      <sz val="10"/>
      <color theme="1"/>
      <name val="Calibri"/>
      <family val="2"/>
      <scheme val="minor"/>
    </font>
    <font>
      <sz val="11"/>
      <color theme="1"/>
      <name val="Calibri"/>
      <family val="2"/>
      <scheme val="minor"/>
    </font>
    <font>
      <b/>
      <sz val="9"/>
      <color rgb="FF0070C0"/>
      <name val="Calibri"/>
      <family val="2"/>
      <scheme val="minor"/>
    </font>
    <font>
      <sz val="10"/>
      <color rgb="FF000000"/>
      <name val="Arial"/>
      <family val="2"/>
    </font>
  </fonts>
  <fills count="16">
    <fill>
      <patternFill patternType="none"/>
    </fill>
    <fill>
      <patternFill patternType="gray125"/>
    </fill>
    <fill>
      <patternFill patternType="solid">
        <fgColor theme="8" tint="-0.499984740745262"/>
        <bgColor indexed="64"/>
      </patternFill>
    </fill>
    <fill>
      <patternFill patternType="solid">
        <fgColor theme="8" tint="0.39997558519241921"/>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right style="thin">
        <color indexed="64"/>
      </right>
      <top style="medium">
        <color rgb="FF0070C0"/>
      </top>
      <bottom/>
      <diagonal/>
    </border>
    <border>
      <left style="thin">
        <color indexed="64"/>
      </left>
      <right style="thin">
        <color indexed="64"/>
      </right>
      <top style="medium">
        <color rgb="FF0070C0"/>
      </top>
      <bottom/>
      <diagonal/>
    </border>
    <border>
      <left style="thin">
        <color indexed="64"/>
      </left>
      <right/>
      <top style="medium">
        <color rgb="FF0070C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style="medium">
        <color indexed="64"/>
      </left>
      <right style="thick">
        <color rgb="FF0070C0"/>
      </right>
      <top style="medium">
        <color indexed="64"/>
      </top>
      <bottom style="medium">
        <color indexed="64"/>
      </bottom>
      <diagonal/>
    </border>
    <border>
      <left style="thick">
        <color rgb="FF0070C0"/>
      </left>
      <right style="thick">
        <color rgb="FF0070C0"/>
      </right>
      <top style="medium">
        <color indexed="64"/>
      </top>
      <bottom style="medium">
        <color indexed="64"/>
      </bottom>
      <diagonal/>
    </border>
    <border>
      <left style="thick">
        <color rgb="FF0070C0"/>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style="medium">
        <color theme="9" tint="-0.249977111117893"/>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hair">
        <color indexed="64"/>
      </right>
      <top style="hair">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hair">
        <color indexed="64"/>
      </left>
      <right style="hair">
        <color indexed="64"/>
      </right>
      <top style="hair">
        <color indexed="64"/>
      </top>
      <bottom style="hair">
        <color indexed="64"/>
      </bottom>
      <diagonal/>
    </border>
  </borders>
  <cellStyleXfs count="5">
    <xf numFmtId="0" fontId="0" fillId="0" borderId="0"/>
    <xf numFmtId="0" fontId="2" fillId="0" borderId="0"/>
    <xf numFmtId="0" fontId="12" fillId="0" borderId="0"/>
    <xf numFmtId="0" fontId="2" fillId="0" borderId="0"/>
    <xf numFmtId="43" fontId="41" fillId="0" borderId="0" applyFont="0" applyFill="0" applyBorder="0" applyAlignment="0" applyProtection="0"/>
  </cellStyleXfs>
  <cellXfs count="170">
    <xf numFmtId="0" fontId="0" fillId="0" borderId="0" xfId="0"/>
    <xf numFmtId="0" fontId="1" fillId="2" borderId="0" xfId="0" applyFont="1" applyFill="1"/>
    <xf numFmtId="0" fontId="7" fillId="2" borderId="0" xfId="0" applyFont="1" applyFill="1" applyAlignment="1">
      <alignment horizontal="left" vertical="center"/>
    </xf>
    <xf numFmtId="0" fontId="0" fillId="0" borderId="0" xfId="0" applyAlignment="1">
      <alignment horizontal="center"/>
    </xf>
    <xf numFmtId="0" fontId="3" fillId="3" borderId="0" xfId="0" applyFont="1" applyFill="1" applyAlignment="1">
      <alignment horizontal="center" vertical="center"/>
    </xf>
    <xf numFmtId="49" fontId="11" fillId="4" borderId="3" xfId="2" applyNumberFormat="1" applyFont="1" applyFill="1" applyBorder="1" applyAlignment="1">
      <alignment horizontal="center" vertical="center"/>
    </xf>
    <xf numFmtId="49" fontId="11" fillId="4" borderId="0" xfId="2" applyNumberFormat="1" applyFont="1" applyFill="1" applyAlignment="1">
      <alignment horizontal="center"/>
    </xf>
    <xf numFmtId="49" fontId="11" fillId="0" borderId="0" xfId="2" applyNumberFormat="1" applyFont="1"/>
    <xf numFmtId="49" fontId="11" fillId="0" borderId="13" xfId="2" applyNumberFormat="1" applyFont="1" applyBorder="1"/>
    <xf numFmtId="49" fontId="11" fillId="0" borderId="14" xfId="2" applyNumberFormat="1" applyFont="1" applyBorder="1"/>
    <xf numFmtId="49" fontId="11" fillId="0" borderId="15" xfId="2" applyNumberFormat="1" applyFont="1" applyBorder="1"/>
    <xf numFmtId="49" fontId="13" fillId="0" borderId="0" xfId="2" applyNumberFormat="1" applyFont="1"/>
    <xf numFmtId="49" fontId="14" fillId="0" borderId="16" xfId="2" applyNumberFormat="1" applyFont="1" applyBorder="1" applyAlignment="1">
      <alignment horizontal="center" vertical="center"/>
    </xf>
    <xf numFmtId="49" fontId="15" fillId="0" borderId="17" xfId="2" applyNumberFormat="1" applyFont="1" applyBorder="1" applyAlignment="1">
      <alignment horizontal="center" vertical="center"/>
    </xf>
    <xf numFmtId="49" fontId="14" fillId="0" borderId="18" xfId="2" applyNumberFormat="1" applyFont="1" applyBorder="1" applyAlignment="1">
      <alignment horizontal="center" vertical="center"/>
    </xf>
    <xf numFmtId="49" fontId="14" fillId="0" borderId="17" xfId="2" applyNumberFormat="1" applyFont="1" applyBorder="1" applyAlignment="1">
      <alignment horizontal="center" vertical="center"/>
    </xf>
    <xf numFmtId="0" fontId="14" fillId="0" borderId="18" xfId="2" applyFont="1" applyBorder="1" applyAlignment="1">
      <alignment horizontal="center" vertical="center"/>
    </xf>
    <xf numFmtId="49" fontId="16" fillId="0" borderId="18" xfId="2" applyNumberFormat="1" applyFont="1" applyBorder="1" applyAlignment="1">
      <alignment horizontal="center" vertical="center"/>
    </xf>
    <xf numFmtId="49" fontId="14" fillId="0" borderId="19" xfId="2" applyNumberFormat="1" applyFont="1" applyBorder="1" applyAlignment="1">
      <alignment horizontal="center" vertical="center"/>
    </xf>
    <xf numFmtId="49" fontId="14" fillId="0" borderId="20" xfId="2" applyNumberFormat="1" applyFont="1" applyBorder="1" applyAlignment="1">
      <alignment horizontal="center" vertical="center"/>
    </xf>
    <xf numFmtId="49" fontId="14" fillId="0" borderId="21" xfId="2" applyNumberFormat="1" applyFont="1" applyBorder="1" applyAlignment="1">
      <alignment horizontal="center" vertical="center"/>
    </xf>
    <xf numFmtId="49" fontId="17" fillId="0" borderId="11" xfId="2" applyNumberFormat="1" applyFont="1" applyBorder="1" applyAlignment="1">
      <alignment horizontal="center" vertical="center"/>
    </xf>
    <xf numFmtId="49" fontId="18" fillId="0" borderId="11" xfId="2" applyNumberFormat="1" applyFont="1" applyBorder="1" applyAlignment="1">
      <alignment horizontal="center" vertical="center"/>
    </xf>
    <xf numFmtId="49" fontId="14" fillId="0" borderId="11" xfId="2" applyNumberFormat="1" applyFont="1" applyBorder="1" applyAlignment="1">
      <alignment horizontal="center" vertical="center"/>
    </xf>
    <xf numFmtId="49" fontId="14" fillId="0" borderId="22" xfId="2" applyNumberFormat="1" applyFont="1" applyBorder="1" applyAlignment="1">
      <alignment horizontal="center" vertical="center"/>
    </xf>
    <xf numFmtId="49" fontId="18" fillId="0" borderId="23" xfId="2" applyNumberFormat="1" applyFont="1" applyBorder="1" applyAlignment="1">
      <alignment horizontal="center" vertical="center"/>
    </xf>
    <xf numFmtId="49" fontId="14" fillId="0" borderId="24" xfId="2" applyNumberFormat="1" applyFont="1" applyBorder="1" applyAlignment="1">
      <alignment horizontal="center" vertical="center"/>
    </xf>
    <xf numFmtId="49" fontId="14" fillId="0" borderId="10" xfId="2" applyNumberFormat="1" applyFont="1" applyBorder="1" applyAlignment="1">
      <alignment horizontal="center" vertical="center"/>
    </xf>
    <xf numFmtId="0" fontId="12" fillId="0" borderId="11" xfId="2" applyBorder="1" applyAlignment="1">
      <alignment horizontal="center" vertical="center"/>
    </xf>
    <xf numFmtId="49" fontId="12" fillId="0" borderId="23" xfId="2" applyNumberFormat="1" applyBorder="1" applyAlignment="1">
      <alignment horizontal="center" vertical="center"/>
    </xf>
    <xf numFmtId="49" fontId="12" fillId="0" borderId="10" xfId="2" applyNumberFormat="1" applyBorder="1" applyAlignment="1">
      <alignment horizontal="center" vertical="center"/>
    </xf>
    <xf numFmtId="49" fontId="12" fillId="5" borderId="23" xfId="2" applyNumberFormat="1" applyFill="1" applyBorder="1" applyAlignment="1">
      <alignment horizontal="center" vertical="center"/>
    </xf>
    <xf numFmtId="49" fontId="12" fillId="5" borderId="24" xfId="2" applyNumberFormat="1" applyFill="1" applyBorder="1" applyAlignment="1">
      <alignment horizontal="center" vertical="center"/>
    </xf>
    <xf numFmtId="49" fontId="14" fillId="5" borderId="12" xfId="2" applyNumberFormat="1" applyFont="1" applyFill="1" applyBorder="1" applyAlignment="1">
      <alignment horizontal="center" vertical="center"/>
    </xf>
    <xf numFmtId="49" fontId="12" fillId="0" borderId="0" xfId="2" applyNumberFormat="1" applyAlignment="1">
      <alignment horizontal="center" vertical="center"/>
    </xf>
    <xf numFmtId="49" fontId="12" fillId="0" borderId="25" xfId="2" applyNumberFormat="1" applyBorder="1" applyAlignment="1">
      <alignment horizontal="center" vertical="center"/>
    </xf>
    <xf numFmtId="49" fontId="11" fillId="0" borderId="26" xfId="2" applyNumberFormat="1" applyFont="1" applyBorder="1" applyAlignment="1">
      <alignment horizontal="center" vertical="center"/>
    </xf>
    <xf numFmtId="49" fontId="11" fillId="0" borderId="27" xfId="2" applyNumberFormat="1" applyFont="1" applyBorder="1" applyAlignment="1">
      <alignment horizontal="center" vertical="center"/>
    </xf>
    <xf numFmtId="49" fontId="19" fillId="0" borderId="0" xfId="2" applyNumberFormat="1" applyFont="1" applyAlignment="1">
      <alignment horizontal="center" vertical="center"/>
    </xf>
    <xf numFmtId="49" fontId="12" fillId="4" borderId="28" xfId="2" applyNumberFormat="1" applyFill="1" applyBorder="1" applyAlignment="1">
      <alignment vertical="center"/>
    </xf>
    <xf numFmtId="49" fontId="20" fillId="4" borderId="29" xfId="2" applyNumberFormat="1" applyFont="1" applyFill="1" applyBorder="1" applyAlignment="1">
      <alignment horizontal="right" vertical="center"/>
    </xf>
    <xf numFmtId="49" fontId="12" fillId="4" borderId="29" xfId="2" applyNumberFormat="1" applyFill="1" applyBorder="1" applyAlignment="1">
      <alignment vertical="center"/>
    </xf>
    <xf numFmtId="0" fontId="21" fillId="4" borderId="29" xfId="2" applyFont="1" applyFill="1" applyBorder="1" applyAlignment="1">
      <alignment horizontal="center" vertical="center" wrapText="1"/>
    </xf>
    <xf numFmtId="49" fontId="9" fillId="4" borderId="29" xfId="2" applyNumberFormat="1" applyFont="1" applyFill="1" applyBorder="1" applyAlignment="1">
      <alignment horizontal="center" vertical="center"/>
    </xf>
    <xf numFmtId="49" fontId="12" fillId="4" borderId="29" xfId="2" applyNumberFormat="1" applyFill="1" applyBorder="1" applyAlignment="1">
      <alignment horizontal="center" vertical="center"/>
    </xf>
    <xf numFmtId="49" fontId="12" fillId="4" borderId="29" xfId="2" applyNumberFormat="1" applyFill="1" applyBorder="1" applyAlignment="1">
      <alignment horizontal="right" vertical="center"/>
    </xf>
    <xf numFmtId="49" fontId="22" fillId="4" borderId="29" xfId="2" applyNumberFormat="1" applyFont="1" applyFill="1" applyBorder="1" applyAlignment="1">
      <alignment vertical="center"/>
    </xf>
    <xf numFmtId="49" fontId="23" fillId="4" borderId="29" xfId="2" applyNumberFormat="1" applyFont="1" applyFill="1" applyBorder="1" applyAlignment="1">
      <alignment horizontal="center" vertical="center"/>
    </xf>
    <xf numFmtId="49" fontId="12" fillId="4" borderId="29" xfId="2" quotePrefix="1" applyNumberFormat="1" applyFill="1" applyBorder="1" applyAlignment="1">
      <alignment horizontal="right" vertical="center"/>
    </xf>
    <xf numFmtId="49" fontId="11" fillId="4" borderId="29" xfId="2" applyNumberFormat="1" applyFont="1" applyFill="1" applyBorder="1" applyAlignment="1">
      <alignment vertical="center"/>
    </xf>
    <xf numFmtId="49" fontId="24" fillId="4" borderId="29" xfId="2" applyNumberFormat="1" applyFont="1" applyFill="1" applyBorder="1" applyAlignment="1">
      <alignment vertical="center"/>
    </xf>
    <xf numFmtId="49" fontId="15" fillId="4" borderId="29" xfId="2" applyNumberFormat="1" applyFont="1" applyFill="1" applyBorder="1" applyAlignment="1">
      <alignment vertical="center"/>
    </xf>
    <xf numFmtId="0" fontId="11" fillId="4" borderId="29" xfId="2" applyFont="1" applyFill="1" applyBorder="1" applyAlignment="1">
      <alignment vertical="center"/>
    </xf>
    <xf numFmtId="49" fontId="12" fillId="4" borderId="0" xfId="2" applyNumberFormat="1" applyFill="1" applyAlignment="1">
      <alignment vertical="center"/>
    </xf>
    <xf numFmtId="49" fontId="12" fillId="0" borderId="0" xfId="2" applyNumberFormat="1" applyAlignment="1">
      <alignment vertical="center"/>
    </xf>
    <xf numFmtId="49" fontId="13" fillId="0" borderId="0" xfId="2" applyNumberFormat="1" applyFont="1" applyAlignment="1">
      <alignment vertical="center"/>
    </xf>
    <xf numFmtId="49" fontId="13" fillId="0" borderId="1" xfId="2" applyNumberFormat="1" applyFont="1" applyBorder="1" applyAlignment="1">
      <alignment horizontal="center" vertical="center"/>
    </xf>
    <xf numFmtId="0" fontId="25" fillId="8" borderId="1" xfId="2" applyFont="1" applyFill="1" applyBorder="1" applyAlignment="1">
      <alignment horizontal="center" vertical="center"/>
    </xf>
    <xf numFmtId="49" fontId="26" fillId="0" borderId="1" xfId="3" quotePrefix="1" applyNumberFormat="1" applyFont="1" applyBorder="1" applyAlignment="1">
      <alignment horizontal="center" vertical="center" wrapText="1"/>
    </xf>
    <xf numFmtId="0" fontId="27" fillId="0" borderId="1" xfId="2" applyFont="1" applyBorder="1" applyAlignment="1">
      <alignment horizontal="center" vertical="center"/>
    </xf>
    <xf numFmtId="49" fontId="28" fillId="0" borderId="1" xfId="3" applyNumberFormat="1" applyFont="1" applyBorder="1" applyAlignment="1">
      <alignment horizontal="center" vertical="center" wrapText="1"/>
    </xf>
    <xf numFmtId="49" fontId="13" fillId="0" borderId="1" xfId="2" quotePrefix="1" applyNumberFormat="1" applyFont="1" applyBorder="1" applyAlignment="1">
      <alignment horizontal="center" vertical="center"/>
    </xf>
    <xf numFmtId="2" fontId="28" fillId="0" borderId="1" xfId="3" applyNumberFormat="1" applyFont="1" applyBorder="1" applyAlignment="1">
      <alignment horizontal="center" vertical="center"/>
    </xf>
    <xf numFmtId="49" fontId="28" fillId="0" borderId="1" xfId="2" applyNumberFormat="1" applyFont="1" applyBorder="1" applyAlignment="1">
      <alignment horizontal="center" vertical="center"/>
    </xf>
    <xf numFmtId="49" fontId="29" fillId="0" borderId="1" xfId="2" applyNumberFormat="1" applyFont="1" applyBorder="1" applyAlignment="1">
      <alignment horizontal="center" vertical="center"/>
    </xf>
    <xf numFmtId="0" fontId="27" fillId="0" borderId="1" xfId="2" quotePrefix="1" applyFont="1" applyBorder="1" applyAlignment="1">
      <alignment horizontal="center" vertical="center" wrapText="1"/>
    </xf>
    <xf numFmtId="0" fontId="13" fillId="0" borderId="1" xfId="2" applyFont="1" applyBorder="1" applyAlignment="1">
      <alignment horizontal="center" vertical="center" wrapText="1"/>
    </xf>
    <xf numFmtId="49" fontId="13" fillId="0" borderId="0" xfId="2" applyNumberFormat="1" applyFont="1" applyAlignment="1">
      <alignment horizontal="center" vertical="center"/>
    </xf>
    <xf numFmtId="0" fontId="13" fillId="0" borderId="0" xfId="2" applyFont="1" applyAlignment="1">
      <alignment horizontal="center" vertical="center"/>
    </xf>
    <xf numFmtId="49" fontId="13" fillId="0" borderId="30" xfId="2" applyNumberFormat="1" applyFont="1" applyBorder="1" applyAlignment="1">
      <alignment horizontal="center" vertical="center"/>
    </xf>
    <xf numFmtId="0" fontId="25" fillId="9" borderId="1" xfId="2" applyFont="1" applyFill="1" applyBorder="1" applyAlignment="1">
      <alignment horizontal="center" vertical="center"/>
    </xf>
    <xf numFmtId="0" fontId="27" fillId="0" borderId="1" xfId="2" applyFont="1" applyBorder="1" applyAlignment="1">
      <alignment horizontal="center" vertical="center" wrapText="1"/>
    </xf>
    <xf numFmtId="0" fontId="30" fillId="0" borderId="1" xfId="2" quotePrefix="1" applyFont="1" applyBorder="1" applyAlignment="1">
      <alignment horizontal="center" vertical="center" wrapText="1"/>
    </xf>
    <xf numFmtId="0" fontId="25" fillId="10" borderId="1" xfId="2" applyFont="1" applyFill="1" applyBorder="1" applyAlignment="1">
      <alignment horizontal="center" vertical="center"/>
    </xf>
    <xf numFmtId="0" fontId="31" fillId="0" borderId="1" xfId="2" applyFont="1" applyBorder="1" applyAlignment="1">
      <alignment horizontal="center" vertical="center"/>
    </xf>
    <xf numFmtId="0" fontId="25" fillId="11" borderId="1" xfId="2" applyFont="1" applyFill="1" applyBorder="1" applyAlignment="1">
      <alignment horizontal="center" vertical="center"/>
    </xf>
    <xf numFmtId="0" fontId="27" fillId="12" borderId="1" xfId="2" applyFont="1" applyFill="1" applyBorder="1" applyAlignment="1">
      <alignment horizontal="center" vertical="center"/>
    </xf>
    <xf numFmtId="49" fontId="19" fillId="0" borderId="0" xfId="2" applyNumberFormat="1" applyFont="1"/>
    <xf numFmtId="0" fontId="13" fillId="0" borderId="0" xfId="2" applyFont="1"/>
    <xf numFmtId="49" fontId="28" fillId="0" borderId="0" xfId="2" applyNumberFormat="1" applyFont="1"/>
    <xf numFmtId="49" fontId="32" fillId="0" borderId="0" xfId="2" applyNumberFormat="1" applyFont="1" applyAlignment="1">
      <alignment horizontal="center"/>
    </xf>
    <xf numFmtId="49" fontId="11" fillId="3" borderId="8" xfId="2" applyNumberFormat="1" applyFont="1" applyFill="1" applyBorder="1" applyAlignment="1">
      <alignment horizontal="center"/>
    </xf>
    <xf numFmtId="0" fontId="1" fillId="2" borderId="0" xfId="0" applyFont="1" applyFill="1" applyAlignment="1">
      <alignment horizontal="center" vertical="center"/>
    </xf>
    <xf numFmtId="0" fontId="0" fillId="0" borderId="0" xfId="0" applyAlignment="1">
      <alignment horizontal="center" vertical="center"/>
    </xf>
    <xf numFmtId="0" fontId="5" fillId="2" borderId="0" xfId="0" applyFont="1" applyFill="1" applyAlignment="1">
      <alignment horizontal="center" vertical="center"/>
    </xf>
    <xf numFmtId="49" fontId="6" fillId="2" borderId="31" xfId="0" applyNumberFormat="1" applyFont="1" applyFill="1" applyBorder="1" applyAlignment="1">
      <alignment horizontal="center" vertical="center"/>
    </xf>
    <xf numFmtId="0" fontId="2" fillId="3" borderId="0" xfId="0" applyFont="1" applyFill="1" applyAlignment="1">
      <alignment horizontal="center" vertical="center"/>
    </xf>
    <xf numFmtId="0" fontId="2" fillId="3" borderId="1" xfId="0" applyFont="1" applyFill="1" applyBorder="1" applyAlignment="1">
      <alignment horizontal="center" vertical="center"/>
    </xf>
    <xf numFmtId="49" fontId="35" fillId="2" borderId="31" xfId="0" applyNumberFormat="1" applyFont="1" applyFill="1" applyBorder="1" applyAlignment="1">
      <alignment horizontal="center" vertical="center"/>
    </xf>
    <xf numFmtId="0" fontId="1" fillId="2" borderId="0" xfId="0" applyFont="1" applyFill="1" applyAlignment="1">
      <alignment vertical="center"/>
    </xf>
    <xf numFmtId="49" fontId="35" fillId="2" borderId="31" xfId="0" applyNumberFormat="1" applyFont="1" applyFill="1" applyBorder="1" applyAlignment="1">
      <alignment horizontal="center" vertical="center" wrapText="1"/>
    </xf>
    <xf numFmtId="0" fontId="1" fillId="2" borderId="0" xfId="0" applyFont="1" applyFill="1" applyAlignment="1">
      <alignment horizontal="left" vertical="center"/>
    </xf>
    <xf numFmtId="0" fontId="5" fillId="2" borderId="0" xfId="0" applyFont="1" applyFill="1" applyAlignment="1">
      <alignment vertical="top" wrapText="1"/>
    </xf>
    <xf numFmtId="49" fontId="2" fillId="3" borderId="1" xfId="0" applyNumberFormat="1" applyFont="1" applyFill="1" applyBorder="1" applyAlignment="1">
      <alignment horizontal="center" vertical="center"/>
    </xf>
    <xf numFmtId="0" fontId="1" fillId="2" borderId="0" xfId="0" applyFont="1" applyFill="1" applyAlignment="1">
      <alignment horizontal="center"/>
    </xf>
    <xf numFmtId="0" fontId="0" fillId="0" borderId="0" xfId="0" applyAlignment="1">
      <alignment horizontal="center" vertical="top"/>
    </xf>
    <xf numFmtId="49" fontId="12" fillId="0" borderId="0" xfId="2" applyNumberFormat="1"/>
    <xf numFmtId="0" fontId="5" fillId="2" borderId="0" xfId="0" applyFont="1" applyFill="1" applyAlignment="1">
      <alignment horizontal="center" vertical="center" wrapText="1"/>
    </xf>
    <xf numFmtId="0" fontId="12" fillId="0" borderId="0" xfId="2"/>
    <xf numFmtId="0" fontId="20" fillId="0" borderId="0" xfId="2" applyFont="1"/>
    <xf numFmtId="0" fontId="1" fillId="2" borderId="0" xfId="0" applyFont="1" applyFill="1" applyAlignment="1">
      <alignment horizontal="left" vertical="center" wrapText="1"/>
    </xf>
    <xf numFmtId="0" fontId="8" fillId="2" borderId="0" xfId="0" applyFont="1" applyFill="1" applyAlignment="1">
      <alignment horizontal="left" vertical="center" wrapText="1"/>
    </xf>
    <xf numFmtId="0" fontId="2" fillId="3" borderId="1" xfId="0" applyFont="1" applyFill="1" applyBorder="1" applyAlignment="1">
      <alignment horizontal="center" vertical="center" wrapText="1"/>
    </xf>
    <xf numFmtId="0" fontId="0" fillId="0" borderId="0" xfId="0" applyAlignment="1">
      <alignment horizontal="left" vertical="center" wrapText="1"/>
    </xf>
    <xf numFmtId="0" fontId="0" fillId="13" borderId="34" xfId="0" applyFill="1" applyBorder="1" applyAlignment="1">
      <alignment horizontal="center"/>
    </xf>
    <xf numFmtId="0" fontId="0" fillId="5" borderId="1" xfId="0" applyFill="1" applyBorder="1" applyAlignment="1">
      <alignment horizontal="center"/>
    </xf>
    <xf numFmtId="0" fontId="0" fillId="14" borderId="2" xfId="0" applyFill="1" applyBorder="1" applyAlignment="1">
      <alignment horizontal="center"/>
    </xf>
    <xf numFmtId="0" fontId="9" fillId="14" borderId="2" xfId="0" applyFont="1" applyFill="1" applyBorder="1" applyAlignment="1">
      <alignment horizontal="center"/>
    </xf>
    <xf numFmtId="49" fontId="9" fillId="14" borderId="2" xfId="0" applyNumberFormat="1" applyFont="1" applyFill="1" applyBorder="1" applyAlignment="1">
      <alignment horizontal="center"/>
    </xf>
    <xf numFmtId="0" fontId="38" fillId="14" borderId="2" xfId="0" applyFont="1" applyFill="1" applyBorder="1" applyAlignment="1">
      <alignment horizontal="center"/>
    </xf>
    <xf numFmtId="49" fontId="38" fillId="14" borderId="2" xfId="0" applyNumberFormat="1" applyFont="1" applyFill="1" applyBorder="1" applyAlignment="1">
      <alignment horizontal="center"/>
    </xf>
    <xf numFmtId="0" fontId="38" fillId="14" borderId="2" xfId="0" quotePrefix="1" applyFont="1" applyFill="1" applyBorder="1" applyAlignment="1">
      <alignment horizontal="center"/>
    </xf>
    <xf numFmtId="0" fontId="39" fillId="14" borderId="2" xfId="0" applyFont="1" applyFill="1" applyBorder="1" applyAlignment="1">
      <alignment horizontal="center"/>
    </xf>
    <xf numFmtId="0" fontId="37" fillId="14" borderId="2" xfId="0" applyFont="1" applyFill="1" applyBorder="1" applyAlignment="1">
      <alignment horizontal="center"/>
    </xf>
    <xf numFmtId="49" fontId="40" fillId="11" borderId="1" xfId="0" applyNumberFormat="1" applyFont="1" applyFill="1" applyBorder="1" applyAlignment="1">
      <alignment horizontal="center"/>
    </xf>
    <xf numFmtId="0" fontId="36" fillId="0" borderId="1" xfId="0" applyFont="1" applyBorder="1" applyAlignment="1">
      <alignment horizontal="center"/>
    </xf>
    <xf numFmtId="0" fontId="8" fillId="2" borderId="0" xfId="0" applyFont="1" applyFill="1" applyAlignment="1">
      <alignment horizontal="center" vertical="center"/>
    </xf>
    <xf numFmtId="49" fontId="35" fillId="2" borderId="37" xfId="0" applyNumberFormat="1" applyFont="1" applyFill="1" applyBorder="1" applyAlignment="1">
      <alignment horizontal="center" vertical="center" wrapText="1"/>
    </xf>
    <xf numFmtId="0" fontId="11" fillId="6" borderId="1" xfId="0" applyFont="1" applyFill="1" applyBorder="1" applyAlignment="1">
      <alignment horizontal="center" vertical="center"/>
    </xf>
    <xf numFmtId="0" fontId="11" fillId="13"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0" borderId="0" xfId="0" applyFont="1" applyAlignment="1">
      <alignment horizontal="center" vertical="center"/>
    </xf>
    <xf numFmtId="0" fontId="24" fillId="13" borderId="1" xfId="0" applyFont="1" applyFill="1" applyBorder="1" applyAlignment="1">
      <alignment horizontal="center" vertical="center"/>
    </xf>
    <xf numFmtId="49" fontId="24" fillId="13" borderId="1" xfId="0" applyNumberFormat="1" applyFont="1" applyFill="1" applyBorder="1" applyAlignment="1">
      <alignment horizontal="center" vertical="center"/>
    </xf>
    <xf numFmtId="0" fontId="24" fillId="4" borderId="1" xfId="0" applyFont="1" applyFill="1" applyBorder="1" applyAlignment="1">
      <alignment horizontal="center" vertical="center"/>
    </xf>
    <xf numFmtId="0" fontId="24" fillId="3" borderId="1" xfId="0" applyFont="1" applyFill="1" applyBorder="1" applyAlignment="1">
      <alignment horizontal="center" vertical="center"/>
    </xf>
    <xf numFmtId="0" fontId="7" fillId="15" borderId="1" xfId="0" applyFont="1" applyFill="1" applyBorder="1" applyAlignment="1">
      <alignment horizontal="center" vertical="center"/>
    </xf>
    <xf numFmtId="0" fontId="42" fillId="14" borderId="1" xfId="0" applyFont="1" applyFill="1" applyBorder="1" applyAlignment="1">
      <alignment horizontal="center" vertical="center"/>
    </xf>
    <xf numFmtId="0" fontId="42" fillId="14" borderId="1" xfId="0" quotePrefix="1" applyFont="1" applyFill="1" applyBorder="1" applyAlignment="1">
      <alignment horizontal="center" vertical="center"/>
    </xf>
    <xf numFmtId="49" fontId="20" fillId="0" borderId="0" xfId="2" applyNumberFormat="1" applyFont="1" applyAlignment="1">
      <alignment horizontal="center" vertical="center"/>
    </xf>
    <xf numFmtId="49" fontId="11" fillId="5" borderId="1" xfId="0" applyNumberFormat="1" applyFont="1" applyFill="1" applyBorder="1" applyAlignment="1">
      <alignment horizontal="center" vertical="center"/>
    </xf>
    <xf numFmtId="49" fontId="24" fillId="5" borderId="1" xfId="0" applyNumberFormat="1" applyFont="1" applyFill="1" applyBorder="1" applyAlignment="1">
      <alignment horizontal="center" vertical="center"/>
    </xf>
    <xf numFmtId="49" fontId="7" fillId="15" borderId="1" xfId="0" applyNumberFormat="1" applyFont="1" applyFill="1" applyBorder="1" applyAlignment="1">
      <alignment horizontal="center" vertical="center"/>
    </xf>
    <xf numFmtId="0" fontId="25" fillId="0" borderId="0" xfId="0" applyFont="1" applyAlignment="1">
      <alignment horizontal="center"/>
    </xf>
    <xf numFmtId="0" fontId="25" fillId="0" borderId="0" xfId="0" applyFont="1"/>
    <xf numFmtId="0" fontId="0" fillId="0" borderId="0" xfId="0" applyAlignment="1">
      <alignment vertical="top"/>
    </xf>
    <xf numFmtId="49" fontId="0" fillId="0" borderId="0" xfId="4" applyNumberFormat="1" applyFont="1" applyAlignment="1">
      <alignment horizontal="center" vertical="top"/>
    </xf>
    <xf numFmtId="49" fontId="0" fillId="0" borderId="0" xfId="4" applyNumberFormat="1" applyFont="1" applyAlignment="1">
      <alignment vertical="top"/>
    </xf>
    <xf numFmtId="0" fontId="11" fillId="6" borderId="1" xfId="0" applyFont="1" applyFill="1" applyBorder="1" applyAlignment="1">
      <alignment horizontal="center" vertical="center"/>
    </xf>
    <xf numFmtId="0" fontId="11" fillId="13" borderId="1" xfId="0" applyFont="1" applyFill="1" applyBorder="1" applyAlignment="1">
      <alignment horizontal="center" vertical="center"/>
    </xf>
    <xf numFmtId="0" fontId="11" fillId="4" borderId="1" xfId="0" applyFont="1" applyFill="1" applyBorder="1" applyAlignment="1">
      <alignment horizontal="center" vertical="center"/>
    </xf>
    <xf numFmtId="43" fontId="11" fillId="3" borderId="1" xfId="4" applyFont="1" applyFill="1" applyBorder="1" applyAlignment="1">
      <alignment horizontal="center" vertical="center"/>
    </xf>
    <xf numFmtId="0" fontId="2" fillId="3" borderId="32" xfId="0" applyFont="1" applyFill="1" applyBorder="1" applyAlignment="1">
      <alignment horizontal="center" vertical="center"/>
    </xf>
    <xf numFmtId="0" fontId="2" fillId="3" borderId="33" xfId="0" applyFont="1" applyFill="1" applyBorder="1" applyAlignment="1">
      <alignment horizontal="center" vertical="center"/>
    </xf>
    <xf numFmtId="0" fontId="4" fillId="2" borderId="0" xfId="0" applyFont="1" applyFill="1" applyAlignment="1">
      <alignment horizontal="left"/>
    </xf>
    <xf numFmtId="0" fontId="5" fillId="2" borderId="0" xfId="0" applyFont="1" applyFill="1" applyAlignment="1">
      <alignment horizontal="left" vertical="top" wrapText="1"/>
    </xf>
    <xf numFmtId="0" fontId="0" fillId="6" borderId="34" xfId="0" applyFill="1" applyBorder="1" applyAlignment="1">
      <alignment horizontal="center"/>
    </xf>
    <xf numFmtId="0" fontId="0" fillId="6" borderId="35" xfId="0" applyFill="1" applyBorder="1" applyAlignment="1">
      <alignment horizontal="center"/>
    </xf>
    <xf numFmtId="0" fontId="0" fillId="13" borderId="34" xfId="0" applyFill="1" applyBorder="1" applyAlignment="1">
      <alignment horizontal="center"/>
    </xf>
    <xf numFmtId="0" fontId="0" fillId="4" borderId="1" xfId="0" applyFill="1" applyBorder="1" applyAlignment="1">
      <alignment horizontal="center"/>
    </xf>
    <xf numFmtId="43" fontId="0" fillId="3" borderId="32" xfId="4" applyFont="1" applyFill="1" applyBorder="1" applyAlignment="1">
      <alignment horizontal="center"/>
    </xf>
    <xf numFmtId="43" fontId="0" fillId="3" borderId="36" xfId="4" applyFont="1" applyFill="1" applyBorder="1" applyAlignment="1">
      <alignment horizontal="center"/>
    </xf>
    <xf numFmtId="43" fontId="0" fillId="3" borderId="33" xfId="4" applyFont="1" applyFill="1" applyBorder="1" applyAlignment="1">
      <alignment horizontal="center"/>
    </xf>
    <xf numFmtId="49" fontId="11" fillId="5" borderId="10" xfId="2" applyNumberFormat="1" applyFont="1" applyFill="1" applyBorder="1" applyAlignment="1">
      <alignment horizontal="center"/>
    </xf>
    <xf numFmtId="49" fontId="11" fillId="5" borderId="11" xfId="2" applyNumberFormat="1" applyFont="1" applyFill="1" applyBorder="1" applyAlignment="1">
      <alignment horizontal="center"/>
    </xf>
    <xf numFmtId="49" fontId="11" fillId="5" borderId="12" xfId="2" applyNumberFormat="1" applyFont="1" applyFill="1" applyBorder="1" applyAlignment="1">
      <alignment horizontal="center"/>
    </xf>
    <xf numFmtId="49" fontId="11" fillId="5" borderId="4" xfId="2" applyNumberFormat="1" applyFont="1" applyFill="1" applyBorder="1" applyAlignment="1">
      <alignment horizontal="center"/>
    </xf>
    <xf numFmtId="49" fontId="11" fillId="5" borderId="5" xfId="2" applyNumberFormat="1" applyFont="1" applyFill="1" applyBorder="1" applyAlignment="1">
      <alignment horizontal="center"/>
    </xf>
    <xf numFmtId="49" fontId="11" fillId="5" borderId="6" xfId="2" applyNumberFormat="1" applyFont="1" applyFill="1" applyBorder="1" applyAlignment="1">
      <alignment horizontal="center"/>
    </xf>
    <xf numFmtId="49" fontId="11" fillId="4" borderId="7" xfId="2" applyNumberFormat="1" applyFont="1" applyFill="1" applyBorder="1" applyAlignment="1">
      <alignment horizontal="center"/>
    </xf>
    <xf numFmtId="49" fontId="11" fillId="4" borderId="8" xfId="2" applyNumberFormat="1" applyFont="1" applyFill="1" applyBorder="1" applyAlignment="1">
      <alignment horizontal="center"/>
    </xf>
    <xf numFmtId="49" fontId="11" fillId="4" borderId="9" xfId="2" applyNumberFormat="1" applyFont="1" applyFill="1" applyBorder="1" applyAlignment="1">
      <alignment horizontal="center"/>
    </xf>
    <xf numFmtId="49" fontId="11" fillId="6" borderId="7" xfId="2" applyNumberFormat="1" applyFont="1" applyFill="1" applyBorder="1" applyAlignment="1">
      <alignment horizontal="center"/>
    </xf>
    <xf numFmtId="49" fontId="11" fillId="6" borderId="8" xfId="2" applyNumberFormat="1" applyFont="1" applyFill="1" applyBorder="1" applyAlignment="1">
      <alignment horizontal="center"/>
    </xf>
    <xf numFmtId="49" fontId="11" fillId="6" borderId="9" xfId="2" applyNumberFormat="1" applyFont="1" applyFill="1" applyBorder="1" applyAlignment="1">
      <alignment horizontal="center"/>
    </xf>
    <xf numFmtId="49" fontId="11" fillId="7" borderId="7" xfId="2" quotePrefix="1" applyNumberFormat="1" applyFont="1" applyFill="1" applyBorder="1" applyAlignment="1">
      <alignment horizontal="center" vertical="center"/>
    </xf>
    <xf numFmtId="49" fontId="11" fillId="7" borderId="8" xfId="2" applyNumberFormat="1" applyFont="1" applyFill="1" applyBorder="1" applyAlignment="1">
      <alignment horizontal="center" vertical="center"/>
    </xf>
    <xf numFmtId="49" fontId="11" fillId="7" borderId="9" xfId="2" applyNumberFormat="1" applyFont="1" applyFill="1" applyBorder="1" applyAlignment="1">
      <alignment horizontal="center" vertical="center"/>
    </xf>
    <xf numFmtId="49" fontId="11" fillId="3" borderId="7" xfId="2" applyNumberFormat="1" applyFont="1" applyFill="1" applyBorder="1" applyAlignment="1">
      <alignment horizontal="center"/>
    </xf>
    <xf numFmtId="49" fontId="11" fillId="3" borderId="8" xfId="2" applyNumberFormat="1" applyFont="1" applyFill="1" applyBorder="1" applyAlignment="1">
      <alignment horizontal="center"/>
    </xf>
  </cellXfs>
  <cellStyles count="5">
    <cellStyle name="Comma" xfId="4" builtinId="3"/>
    <cellStyle name="Normal" xfId="0" builtinId="0"/>
    <cellStyle name="Normal 2" xfId="1" xr:uid="{F6F2164A-BE17-44A9-8C58-E457E011BBFD}"/>
    <cellStyle name="Normal 2 2" xfId="3" xr:uid="{9583C227-DDDB-4719-B728-CC97BEAA3CE5}"/>
    <cellStyle name="Normal 3" xfId="2" xr:uid="{A1E77F63-34DD-496D-92E5-E8A008922D9E}"/>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externalLink" Target="externalLinks/externalLink7.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4.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171450</xdr:colOff>
          <xdr:row>7</xdr:row>
          <xdr:rowOff>66675</xdr:rowOff>
        </xdr:from>
        <xdr:to>
          <xdr:col>1</xdr:col>
          <xdr:colOff>1905000</xdr:colOff>
          <xdr:row>8</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Start Script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myoffice.accenture.com/Users/kristina.g.t.cuzon/Desktop/FY16/07%20Mar%2016.1/CYCLE%203/02%20PREPARE/Regression/16.1%20RTP_Regression_F110%20Automatic%20Paymen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ts2amr.accenture.com/Users/kathleen.v.afalla/Desktop/Khatz/GEOX/Test%20Scripts/Config%20Design/Ariba%20Buyer%20Enablement%20Configuration%20Design%20-%20BRUNEI.xls"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arti.devi\AppData\Local\Microsoft\Windows\INetCache\Content.Outlook\JLQWRC2D\Accenture%20T360%20Company%20Import%20Spreadsheet.xlsx" TargetMode="External"/><Relationship Id="rId1" Type="http://schemas.openxmlformats.org/officeDocument/2006/relationships/externalLinkPath" Target="https://myoffice.accenture.com/Users/arti.devi/AppData/Local/Microsoft/Windows/INetCache/Content.Outlook/JLQWRC2D/Accenture%20T360%20Company%20Import%20Spreadsheet.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ts2amr.accenture.com/GeoEx/Presentation%20Materials/Ariba%20Buyer%20Enablement%20Configuration%20Design%20-%20TEMPLATE.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ts.accenture.com/Documents%20and%20Settings/brian.t.tan/Local%20Settings/Temporary%20Internet%20Files/OLK1D/Ariba%20Buyer%20Enablement%20Configuration%20Design%20Italy_1_4%20(sent).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myoffice.accenture.com/Users/michael.p.monroid/Desktop/Test%20Deliverables/RTP_Gentran_AM_Input_08112013.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Poffs1009\vol1\Ariba\FY04%20Releases\Release%204.5%20-%20Ariba%20v8.1%20Upgrade\05%20-%20Assembly%20Test\02%20-%20SAP%20Build\Release4.5_AT%20Cycle%20Control%20Shee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L"/>
      <sheetName val="Document Control"/>
      <sheetName val="TCER"/>
      <sheetName val="TCERs"/>
      <sheetName val="Test Script"/>
      <sheetName val="Test User Roles"/>
      <sheetName val="Test Data"/>
      <sheetName val="TS1"/>
      <sheetName val="TS2"/>
      <sheetName val="TS3"/>
      <sheetName val="TS4"/>
      <sheetName val="TS5"/>
      <sheetName val="TS6"/>
      <sheetName val="TS7"/>
      <sheetName val="TS8"/>
      <sheetName val="TS9"/>
      <sheetName val="TS10"/>
      <sheetName val="TS11"/>
      <sheetName val="TS12"/>
      <sheetName val="TS13"/>
      <sheetName val="Scripting Log"/>
      <sheetName val="Vendors"/>
      <sheetName val="DION AMEX"/>
      <sheetName val="DB"/>
      <sheetName val="Contacts"/>
      <sheetName val="18.3C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
      <sheetName val="Glossary"/>
      <sheetName val="Business Design &amp; Prototype"/>
      <sheetName val="Company Code_POrg"/>
      <sheetName val="Country Config"/>
      <sheetName val="Addresses"/>
      <sheetName val="PO Lay Out Mapping"/>
      <sheetName val="Intervention - Commodity Code "/>
      <sheetName val="Intervention - Supplier"/>
      <sheetName val="User Group Mapping"/>
      <sheetName val="REFERENCE"/>
      <sheetName val="APPENDIX"/>
    </sheetNames>
    <sheetDataSet>
      <sheetData sheetId="0">
        <row r="1">
          <cell r="H1" t="str">
            <v>yes</v>
          </cell>
        </row>
        <row r="2">
          <cell r="H2" t="str">
            <v>no</v>
          </cell>
        </row>
      </sheetData>
      <sheetData sheetId="1"/>
      <sheetData sheetId="2"/>
      <sheetData sheetId="3"/>
      <sheetData sheetId="4"/>
      <sheetData sheetId="5"/>
      <sheetData sheetId="6"/>
      <sheetData sheetId="7"/>
      <sheetData sheetId="8"/>
      <sheetData sheetId="9"/>
      <sheetData sheetId="10">
        <row r="3">
          <cell r="M3" t="str">
            <v>Andorra</v>
          </cell>
        </row>
        <row r="4">
          <cell r="M4" t="str">
            <v>United Arab Emirates</v>
          </cell>
        </row>
        <row r="5">
          <cell r="M5" t="str">
            <v>Afghanistan</v>
          </cell>
        </row>
        <row r="6">
          <cell r="M6" t="str">
            <v>Antigua and Barbuda</v>
          </cell>
        </row>
        <row r="7">
          <cell r="M7" t="str">
            <v>Anguilla</v>
          </cell>
        </row>
        <row r="8">
          <cell r="M8" t="str">
            <v>Albania</v>
          </cell>
        </row>
        <row r="9">
          <cell r="M9" t="str">
            <v>Armenia</v>
          </cell>
        </row>
        <row r="10">
          <cell r="M10" t="str">
            <v>Netherlands Antilles</v>
          </cell>
        </row>
        <row r="11">
          <cell r="M11" t="str">
            <v>Angola</v>
          </cell>
        </row>
        <row r="12">
          <cell r="M12" t="str">
            <v>Antarctica</v>
          </cell>
        </row>
        <row r="13">
          <cell r="M13" t="str">
            <v>Argentina</v>
          </cell>
        </row>
        <row r="14">
          <cell r="M14" t="str">
            <v>American Samoa</v>
          </cell>
        </row>
        <row r="15">
          <cell r="M15" t="str">
            <v>Österreich</v>
          </cell>
        </row>
        <row r="16">
          <cell r="M16" t="str">
            <v>Australia</v>
          </cell>
        </row>
        <row r="17">
          <cell r="M17" t="str">
            <v>Aruba</v>
          </cell>
        </row>
        <row r="18">
          <cell r="M18" t="str">
            <v>Azerbaijan</v>
          </cell>
        </row>
        <row r="19">
          <cell r="M19" t="str">
            <v>Bosnia and Herzegovina</v>
          </cell>
        </row>
        <row r="20">
          <cell r="M20" t="str">
            <v>Barbados</v>
          </cell>
        </row>
        <row r="21">
          <cell r="M21" t="str">
            <v>Bangladesh</v>
          </cell>
        </row>
        <row r="22">
          <cell r="M22" t="str">
            <v>Belgium</v>
          </cell>
        </row>
        <row r="23">
          <cell r="M23" t="str">
            <v>Burkina Faso</v>
          </cell>
        </row>
        <row r="24">
          <cell r="M24" t="str">
            <v>Bulgaria</v>
          </cell>
        </row>
        <row r="25">
          <cell r="M25" t="str">
            <v>Bahrain</v>
          </cell>
        </row>
        <row r="26">
          <cell r="M26" t="str">
            <v>Burundi</v>
          </cell>
        </row>
        <row r="27">
          <cell r="M27" t="str">
            <v>Benin</v>
          </cell>
        </row>
        <row r="28">
          <cell r="M28" t="str">
            <v>Bermuda</v>
          </cell>
        </row>
        <row r="29">
          <cell r="M29" t="str">
            <v>Brunei Darussalam</v>
          </cell>
        </row>
        <row r="30">
          <cell r="M30" t="str">
            <v>Bolivia</v>
          </cell>
        </row>
        <row r="31">
          <cell r="M31" t="str">
            <v>Brazil</v>
          </cell>
        </row>
        <row r="32">
          <cell r="M32" t="str">
            <v>Bahamas</v>
          </cell>
        </row>
        <row r="33">
          <cell r="M33" t="str">
            <v>Bhutan</v>
          </cell>
        </row>
        <row r="34">
          <cell r="M34" t="str">
            <v>Bouvet Island</v>
          </cell>
        </row>
        <row r="35">
          <cell r="M35" t="str">
            <v>Botswana</v>
          </cell>
        </row>
        <row r="36">
          <cell r="M36" t="str">
            <v>Belarus</v>
          </cell>
        </row>
        <row r="37">
          <cell r="M37" t="str">
            <v>Belize</v>
          </cell>
        </row>
        <row r="38">
          <cell r="M38" t="str">
            <v>Canada</v>
          </cell>
        </row>
        <row r="39">
          <cell r="M39" t="str">
            <v>Cocos (Keeling) Islands</v>
          </cell>
        </row>
        <row r="40">
          <cell r="M40" t="str">
            <v>Congo, the Democratic Republic of the</v>
          </cell>
        </row>
        <row r="41">
          <cell r="M41" t="str">
            <v>Central African Republic</v>
          </cell>
        </row>
        <row r="42">
          <cell r="M42" t="str">
            <v>Congo</v>
          </cell>
        </row>
        <row r="43">
          <cell r="M43" t="str">
            <v>Schweiz</v>
          </cell>
        </row>
        <row r="44">
          <cell r="M44" t="str">
            <v>Cote d'Ivoire</v>
          </cell>
        </row>
        <row r="45">
          <cell r="M45" t="str">
            <v>Cook Islands</v>
          </cell>
        </row>
        <row r="46">
          <cell r="M46" t="str">
            <v>Chile</v>
          </cell>
        </row>
        <row r="47">
          <cell r="M47" t="str">
            <v>Cameroon</v>
          </cell>
        </row>
        <row r="48">
          <cell r="M48" t="str">
            <v>China</v>
          </cell>
        </row>
        <row r="49">
          <cell r="M49" t="str">
            <v>Colombia</v>
          </cell>
        </row>
        <row r="50">
          <cell r="M50" t="str">
            <v>Czechoslovakia</v>
          </cell>
        </row>
        <row r="51">
          <cell r="M51" t="str">
            <v>Costa Rica</v>
          </cell>
        </row>
        <row r="52">
          <cell r="M52" t="str">
            <v>Cuba</v>
          </cell>
        </row>
        <row r="53">
          <cell r="M53" t="str">
            <v>Cape Verde</v>
          </cell>
        </row>
        <row r="54">
          <cell r="M54" t="str">
            <v>Christmas Island</v>
          </cell>
        </row>
        <row r="55">
          <cell r="M55" t="str">
            <v>Cyprus</v>
          </cell>
        </row>
        <row r="56">
          <cell r="M56" t="str">
            <v>Czech Republic</v>
          </cell>
        </row>
        <row r="57">
          <cell r="M57" t="str">
            <v>Deutschland</v>
          </cell>
        </row>
        <row r="58">
          <cell r="M58" t="str">
            <v>Djibouti</v>
          </cell>
        </row>
        <row r="59">
          <cell r="M59" t="str">
            <v>Denmark</v>
          </cell>
        </row>
        <row r="60">
          <cell r="M60" t="str">
            <v>Dominica</v>
          </cell>
        </row>
        <row r="61">
          <cell r="M61" t="str">
            <v>Dominican Republic</v>
          </cell>
        </row>
        <row r="62">
          <cell r="M62" t="str">
            <v>Algeria</v>
          </cell>
        </row>
        <row r="63">
          <cell r="M63" t="str">
            <v>Ecuador</v>
          </cell>
        </row>
        <row r="64">
          <cell r="M64" t="str">
            <v>Estonia</v>
          </cell>
        </row>
        <row r="65">
          <cell r="M65" t="str">
            <v>Egypt</v>
          </cell>
        </row>
        <row r="66">
          <cell r="M66" t="str">
            <v>Western Sahara</v>
          </cell>
        </row>
        <row r="67">
          <cell r="M67" t="str">
            <v>Eritrea</v>
          </cell>
        </row>
        <row r="68">
          <cell r="M68" t="str">
            <v>Spain</v>
          </cell>
        </row>
        <row r="69">
          <cell r="M69" t="str">
            <v>Ethiopia</v>
          </cell>
        </row>
        <row r="70">
          <cell r="M70" t="str">
            <v>Finland</v>
          </cell>
        </row>
        <row r="71">
          <cell r="M71" t="str">
            <v>Fiji</v>
          </cell>
        </row>
        <row r="72">
          <cell r="M72" t="str">
            <v>Falkland Islands (Malvinas)</v>
          </cell>
        </row>
        <row r="73">
          <cell r="M73" t="str">
            <v>Micronesia</v>
          </cell>
        </row>
        <row r="74">
          <cell r="M74" t="str">
            <v>Faroe Islands</v>
          </cell>
        </row>
        <row r="75">
          <cell r="M75" t="str">
            <v>France</v>
          </cell>
        </row>
        <row r="76">
          <cell r="M76" t="str">
            <v>France, Metropolitan</v>
          </cell>
        </row>
        <row r="77">
          <cell r="M77" t="str">
            <v>Gabon</v>
          </cell>
        </row>
        <row r="78">
          <cell r="M78" t="str">
            <v>United Kingdom</v>
          </cell>
        </row>
        <row r="79">
          <cell r="M79" t="str">
            <v>Grenada</v>
          </cell>
        </row>
        <row r="80">
          <cell r="M80" t="str">
            <v>Georgia</v>
          </cell>
        </row>
        <row r="81">
          <cell r="M81" t="str">
            <v>French Guiana</v>
          </cell>
        </row>
        <row r="82">
          <cell r="M82" t="str">
            <v>Ghana</v>
          </cell>
        </row>
        <row r="83">
          <cell r="M83" t="str">
            <v>Gibraltar</v>
          </cell>
        </row>
        <row r="84">
          <cell r="M84" t="str">
            <v>Greenland</v>
          </cell>
        </row>
        <row r="85">
          <cell r="M85" t="str">
            <v>Gambia</v>
          </cell>
        </row>
        <row r="86">
          <cell r="M86" t="str">
            <v>Guinea</v>
          </cell>
        </row>
        <row r="87">
          <cell r="M87" t="str">
            <v>Guadeloupe</v>
          </cell>
        </row>
        <row r="88">
          <cell r="M88" t="str">
            <v>Equatorial Guinea</v>
          </cell>
        </row>
        <row r="89">
          <cell r="M89" t="str">
            <v>Greece</v>
          </cell>
        </row>
        <row r="90">
          <cell r="M90" t="str">
            <v>South Georgia</v>
          </cell>
        </row>
        <row r="91">
          <cell r="M91" t="str">
            <v>Guatemala</v>
          </cell>
        </row>
        <row r="92">
          <cell r="M92" t="str">
            <v>Guam</v>
          </cell>
        </row>
        <row r="93">
          <cell r="M93" t="str">
            <v>Guinea-Bissau</v>
          </cell>
        </row>
        <row r="94">
          <cell r="M94" t="str">
            <v>Guyana</v>
          </cell>
        </row>
        <row r="95">
          <cell r="M95" t="str">
            <v>Hong Kong</v>
          </cell>
        </row>
        <row r="96">
          <cell r="M96" t="str">
            <v>Heard Island and McDonald Islands</v>
          </cell>
        </row>
        <row r="97">
          <cell r="M97" t="str">
            <v>Honduras</v>
          </cell>
        </row>
        <row r="98">
          <cell r="M98" t="str">
            <v>Croatia</v>
          </cell>
        </row>
        <row r="99">
          <cell r="M99" t="str">
            <v>Haiti</v>
          </cell>
        </row>
        <row r="100">
          <cell r="M100" t="str">
            <v>Hungary</v>
          </cell>
        </row>
        <row r="101">
          <cell r="M101" t="str">
            <v>Indonesia</v>
          </cell>
        </row>
        <row r="102">
          <cell r="M102" t="str">
            <v>Ireland</v>
          </cell>
        </row>
        <row r="103">
          <cell r="M103" t="str">
            <v>Israel</v>
          </cell>
        </row>
        <row r="104">
          <cell r="M104" t="str">
            <v>India</v>
          </cell>
        </row>
        <row r="105">
          <cell r="M105" t="str">
            <v>British Indian Ocean Territory</v>
          </cell>
        </row>
        <row r="106">
          <cell r="M106" t="str">
            <v>Iraq</v>
          </cell>
        </row>
        <row r="107">
          <cell r="M107" t="str">
            <v>Iran</v>
          </cell>
        </row>
        <row r="108">
          <cell r="M108" t="str">
            <v>Iceland</v>
          </cell>
        </row>
        <row r="109">
          <cell r="M109" t="str">
            <v>Italy</v>
          </cell>
        </row>
        <row r="110">
          <cell r="M110" t="str">
            <v>Jamaica</v>
          </cell>
        </row>
        <row r="111">
          <cell r="M111" t="str">
            <v>Jordan</v>
          </cell>
        </row>
        <row r="112">
          <cell r="M112" t="str">
            <v>Japan</v>
          </cell>
        </row>
        <row r="113">
          <cell r="M113" t="str">
            <v>Kenya</v>
          </cell>
        </row>
        <row r="114">
          <cell r="M114" t="str">
            <v>Kyrgyzstan</v>
          </cell>
        </row>
        <row r="115">
          <cell r="M115" t="str">
            <v>Cambodia</v>
          </cell>
        </row>
        <row r="116">
          <cell r="M116" t="str">
            <v>Kiribati</v>
          </cell>
        </row>
        <row r="117">
          <cell r="M117" t="str">
            <v>Comoros</v>
          </cell>
        </row>
        <row r="118">
          <cell r="M118" t="str">
            <v>Saint Kitts and Nevis</v>
          </cell>
        </row>
        <row r="119">
          <cell r="M119" t="str">
            <v>North Korea</v>
          </cell>
        </row>
        <row r="120">
          <cell r="M120" t="str">
            <v>South Korea</v>
          </cell>
        </row>
        <row r="121">
          <cell r="M121" t="str">
            <v>Kuwait</v>
          </cell>
        </row>
        <row r="122">
          <cell r="M122" t="str">
            <v>Cayman Islands</v>
          </cell>
        </row>
        <row r="123">
          <cell r="M123" t="str">
            <v>Kazakhstan</v>
          </cell>
        </row>
        <row r="124">
          <cell r="M124" t="str">
            <v>Laos</v>
          </cell>
        </row>
        <row r="125">
          <cell r="M125" t="str">
            <v>Lebanon</v>
          </cell>
        </row>
        <row r="126">
          <cell r="M126" t="str">
            <v>Saint Lucia</v>
          </cell>
        </row>
        <row r="127">
          <cell r="M127" t="str">
            <v>Liechtenstein</v>
          </cell>
        </row>
        <row r="128">
          <cell r="M128" t="str">
            <v>Sri Lanka</v>
          </cell>
        </row>
        <row r="129">
          <cell r="M129" t="str">
            <v>Liberia</v>
          </cell>
        </row>
        <row r="130">
          <cell r="M130" t="str">
            <v>Lesotho</v>
          </cell>
        </row>
        <row r="131">
          <cell r="M131" t="str">
            <v>Latin America</v>
          </cell>
        </row>
        <row r="132">
          <cell r="M132" t="str">
            <v>Luxembourg</v>
          </cell>
        </row>
        <row r="133">
          <cell r="M133" t="str">
            <v>Latvia</v>
          </cell>
        </row>
        <row r="134">
          <cell r="M134" t="str">
            <v>Lithuania</v>
          </cell>
        </row>
        <row r="135">
          <cell r="M135" t="str">
            <v>Libyan Arab Jamahiriya</v>
          </cell>
        </row>
        <row r="136">
          <cell r="M136" t="str">
            <v>Morocco</v>
          </cell>
        </row>
        <row r="137">
          <cell r="M137" t="str">
            <v>Monaco</v>
          </cell>
        </row>
        <row r="138">
          <cell r="M138" t="str">
            <v>Moldova</v>
          </cell>
        </row>
        <row r="139">
          <cell r="M139" t="str">
            <v>Madagascar</v>
          </cell>
        </row>
        <row r="140">
          <cell r="M140" t="str">
            <v>Marshall Islands</v>
          </cell>
        </row>
        <row r="141">
          <cell r="M141" t="str">
            <v>Macedonia</v>
          </cell>
        </row>
        <row r="142">
          <cell r="M142" t="str">
            <v>Mali</v>
          </cell>
        </row>
        <row r="143">
          <cell r="M143" t="str">
            <v>Myanmar</v>
          </cell>
        </row>
        <row r="144">
          <cell r="M144" t="str">
            <v>Mongolia</v>
          </cell>
        </row>
        <row r="145">
          <cell r="M145" t="str">
            <v>Macau</v>
          </cell>
        </row>
        <row r="146">
          <cell r="M146" t="str">
            <v>Northern Mariana Islands</v>
          </cell>
        </row>
        <row r="147">
          <cell r="M147" t="str">
            <v>Martinique</v>
          </cell>
        </row>
        <row r="148">
          <cell r="M148" t="str">
            <v>Mauritania</v>
          </cell>
        </row>
        <row r="149">
          <cell r="M149" t="str">
            <v>Montserrat</v>
          </cell>
        </row>
        <row r="150">
          <cell r="M150" t="str">
            <v>Malta</v>
          </cell>
        </row>
        <row r="151">
          <cell r="M151" t="str">
            <v>Mauritius</v>
          </cell>
        </row>
        <row r="152">
          <cell r="M152" t="str">
            <v>Maldives</v>
          </cell>
        </row>
        <row r="153">
          <cell r="M153" t="str">
            <v>Malawi</v>
          </cell>
        </row>
        <row r="154">
          <cell r="M154" t="str">
            <v>Mexico</v>
          </cell>
        </row>
        <row r="155">
          <cell r="M155" t="str">
            <v>Malaysia</v>
          </cell>
        </row>
        <row r="156">
          <cell r="M156" t="str">
            <v>Mozambique</v>
          </cell>
        </row>
        <row r="157">
          <cell r="M157" t="str">
            <v>Namibia</v>
          </cell>
        </row>
        <row r="158">
          <cell r="M158" t="str">
            <v>New Caledonia</v>
          </cell>
        </row>
        <row r="159">
          <cell r="M159" t="str">
            <v>Niger</v>
          </cell>
        </row>
        <row r="160">
          <cell r="M160" t="str">
            <v>Norfolk Island</v>
          </cell>
        </row>
        <row r="161">
          <cell r="M161" t="str">
            <v>Nigeria</v>
          </cell>
        </row>
        <row r="162">
          <cell r="M162" t="str">
            <v>Nicaragua</v>
          </cell>
        </row>
        <row r="163">
          <cell r="M163" t="str">
            <v>Netherlands</v>
          </cell>
        </row>
        <row r="164">
          <cell r="M164" t="str">
            <v>Norway</v>
          </cell>
        </row>
        <row r="165">
          <cell r="M165" t="str">
            <v>Nepal</v>
          </cell>
        </row>
        <row r="166">
          <cell r="M166" t="str">
            <v>Nauru</v>
          </cell>
        </row>
        <row r="167">
          <cell r="M167" t="str">
            <v>Neutral Zone</v>
          </cell>
        </row>
        <row r="168">
          <cell r="M168" t="str">
            <v>Niue</v>
          </cell>
        </row>
        <row r="169">
          <cell r="M169" t="str">
            <v>New Zealand</v>
          </cell>
        </row>
        <row r="170">
          <cell r="M170" t="str">
            <v>Oman</v>
          </cell>
        </row>
        <row r="171">
          <cell r="M171" t="str">
            <v>Panama</v>
          </cell>
        </row>
        <row r="172">
          <cell r="M172" t="str">
            <v>Peru</v>
          </cell>
        </row>
        <row r="173">
          <cell r="M173" t="str">
            <v>French Polynesia</v>
          </cell>
        </row>
        <row r="174">
          <cell r="M174" t="str">
            <v>Papua New Guinea</v>
          </cell>
        </row>
        <row r="175">
          <cell r="M175" t="str">
            <v>Philippines</v>
          </cell>
        </row>
        <row r="176">
          <cell r="M176" t="str">
            <v>Pakistan</v>
          </cell>
        </row>
        <row r="177">
          <cell r="M177" t="str">
            <v>Poland</v>
          </cell>
        </row>
        <row r="178">
          <cell r="M178" t="str">
            <v>Saint Pierre and Miquelon</v>
          </cell>
        </row>
        <row r="179">
          <cell r="M179" t="str">
            <v>Pitcairn</v>
          </cell>
        </row>
        <row r="180">
          <cell r="M180" t="str">
            <v>Puerto Rico</v>
          </cell>
        </row>
        <row r="181">
          <cell r="M181" t="str">
            <v>Portugal</v>
          </cell>
        </row>
        <row r="182">
          <cell r="M182" t="str">
            <v>Palau</v>
          </cell>
        </row>
        <row r="183">
          <cell r="M183" t="str">
            <v>Paraguay</v>
          </cell>
        </row>
        <row r="184">
          <cell r="M184" t="str">
            <v>Qatar</v>
          </cell>
        </row>
        <row r="185">
          <cell r="M185" t="str">
            <v>Reunion</v>
          </cell>
        </row>
        <row r="186">
          <cell r="M186" t="str">
            <v>Romania</v>
          </cell>
        </row>
        <row r="187">
          <cell r="M187" t="str">
            <v>Russian Federation</v>
          </cell>
        </row>
        <row r="188">
          <cell r="M188" t="str">
            <v>Rwanda</v>
          </cell>
        </row>
        <row r="189">
          <cell r="M189" t="str">
            <v>Saudi Arabia</v>
          </cell>
        </row>
        <row r="190">
          <cell r="M190" t="str">
            <v>Solomon Islands</v>
          </cell>
        </row>
        <row r="191">
          <cell r="M191" t="str">
            <v>Seychelles</v>
          </cell>
        </row>
        <row r="192">
          <cell r="M192" t="str">
            <v>Sudan</v>
          </cell>
        </row>
        <row r="193">
          <cell r="M193" t="str">
            <v>Sweden</v>
          </cell>
        </row>
        <row r="194">
          <cell r="M194" t="str">
            <v>Singapore</v>
          </cell>
        </row>
        <row r="195">
          <cell r="M195" t="str">
            <v>Saint Helena</v>
          </cell>
        </row>
        <row r="196">
          <cell r="M196" t="str">
            <v>Slovenia</v>
          </cell>
        </row>
        <row r="197">
          <cell r="M197" t="str">
            <v>Svalbard and Jan Mayen Islands</v>
          </cell>
        </row>
        <row r="198">
          <cell r="M198" t="str">
            <v>Slovakia</v>
          </cell>
        </row>
        <row r="199">
          <cell r="M199" t="str">
            <v>Sierra Leone</v>
          </cell>
        </row>
        <row r="200">
          <cell r="M200" t="str">
            <v>San Marino</v>
          </cell>
        </row>
        <row r="201">
          <cell r="M201" t="str">
            <v>Senegal</v>
          </cell>
        </row>
        <row r="202">
          <cell r="M202" t="str">
            <v>Somalia</v>
          </cell>
        </row>
        <row r="203">
          <cell r="M203" t="str">
            <v>Suriname</v>
          </cell>
        </row>
        <row r="204">
          <cell r="M204" t="str">
            <v>Sao Tome and Principe</v>
          </cell>
        </row>
        <row r="205">
          <cell r="M205" t="str">
            <v>Stateless</v>
          </cell>
        </row>
        <row r="206">
          <cell r="M206" t="str">
            <v>USSR</v>
          </cell>
        </row>
        <row r="207">
          <cell r="M207" t="str">
            <v>El Salvador</v>
          </cell>
        </row>
        <row r="208">
          <cell r="M208" t="str">
            <v>Syrian Arab Republic</v>
          </cell>
        </row>
        <row r="209">
          <cell r="M209" t="str">
            <v>Swaziland</v>
          </cell>
        </row>
        <row r="210">
          <cell r="M210" t="str">
            <v>Turks and Caicos Islands</v>
          </cell>
        </row>
        <row r="211">
          <cell r="M211" t="str">
            <v>Chad</v>
          </cell>
        </row>
        <row r="212">
          <cell r="M212" t="str">
            <v>French Southern Territories</v>
          </cell>
        </row>
        <row r="213">
          <cell r="M213" t="str">
            <v>Togo</v>
          </cell>
        </row>
        <row r="214">
          <cell r="M214" t="str">
            <v>Thailand</v>
          </cell>
        </row>
        <row r="215">
          <cell r="M215" t="str">
            <v>Tajikistan</v>
          </cell>
        </row>
        <row r="216">
          <cell r="M216" t="str">
            <v>Tokelau</v>
          </cell>
        </row>
        <row r="217">
          <cell r="M217" t="str">
            <v>Turkmenistan</v>
          </cell>
        </row>
        <row r="218">
          <cell r="M218" t="str">
            <v>Tunisia</v>
          </cell>
        </row>
        <row r="219">
          <cell r="M219" t="str">
            <v>Tonga</v>
          </cell>
        </row>
        <row r="220">
          <cell r="M220" t="str">
            <v>East Timor</v>
          </cell>
        </row>
        <row r="221">
          <cell r="M221" t="str">
            <v>Turkey</v>
          </cell>
        </row>
        <row r="222">
          <cell r="M222" t="str">
            <v>Trinidad and Tobago</v>
          </cell>
        </row>
        <row r="223">
          <cell r="M223" t="str">
            <v>Tuvalu</v>
          </cell>
        </row>
        <row r="224">
          <cell r="M224" t="str">
            <v>Taiwan</v>
          </cell>
        </row>
        <row r="225">
          <cell r="M225" t="str">
            <v>Tanzania</v>
          </cell>
        </row>
        <row r="226">
          <cell r="M226" t="str">
            <v>Ukraine</v>
          </cell>
        </row>
        <row r="227">
          <cell r="M227" t="str">
            <v>Uganda</v>
          </cell>
        </row>
        <row r="228">
          <cell r="M228" t="str">
            <v>United States Minor Outlying Islands</v>
          </cell>
        </row>
        <row r="229">
          <cell r="M229" t="str">
            <v>United States</v>
          </cell>
        </row>
        <row r="230">
          <cell r="M230" t="str">
            <v>Uruguay</v>
          </cell>
        </row>
        <row r="231">
          <cell r="M231" t="str">
            <v>Uzbekistan</v>
          </cell>
        </row>
        <row r="232">
          <cell r="M232" t="str">
            <v>Vatican City State (Holy See)</v>
          </cell>
        </row>
        <row r="233">
          <cell r="M233" t="str">
            <v>Saint Vincent and the Grenadines</v>
          </cell>
        </row>
        <row r="234">
          <cell r="M234" t="str">
            <v>Venezuela</v>
          </cell>
        </row>
        <row r="235">
          <cell r="M235" t="str">
            <v>Virgin Islands (British)</v>
          </cell>
        </row>
        <row r="236">
          <cell r="M236" t="str">
            <v>Virgin Islands (U.S.)</v>
          </cell>
        </row>
        <row r="237">
          <cell r="M237" t="str">
            <v>Viet Nam</v>
          </cell>
        </row>
        <row r="238">
          <cell r="M238" t="str">
            <v>Vanuatu</v>
          </cell>
        </row>
        <row r="239">
          <cell r="M239" t="str">
            <v>Wallis and Futuna Islands</v>
          </cell>
        </row>
        <row r="240">
          <cell r="M240" t="str">
            <v>Samoa</v>
          </cell>
        </row>
        <row r="241">
          <cell r="M241" t="str">
            <v>Catalonia</v>
          </cell>
        </row>
        <row r="242">
          <cell r="M242" t="str">
            <v>South Yemen</v>
          </cell>
        </row>
        <row r="243">
          <cell r="M243" t="str">
            <v>Yemen</v>
          </cell>
        </row>
        <row r="244">
          <cell r="M244" t="str">
            <v>Mayotte</v>
          </cell>
        </row>
        <row r="245">
          <cell r="M245" t="str">
            <v>Yugoslavia</v>
          </cell>
        </row>
        <row r="246">
          <cell r="M246" t="str">
            <v>South Africa</v>
          </cell>
        </row>
        <row r="247">
          <cell r="M247" t="str">
            <v>Zambia</v>
          </cell>
        </row>
        <row r="248">
          <cell r="M248" t="str">
            <v>Zaire</v>
          </cell>
        </row>
        <row r="249">
          <cell r="M249" t="str">
            <v>Zimbabwe</v>
          </cell>
        </row>
      </sheetData>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lient Instructions"/>
      <sheetName val="New T-360° Co's to Add"/>
      <sheetName val="Sheet 3"/>
    </sheetNames>
    <sheetDataSet>
      <sheetData sheetId="0" refreshError="1"/>
      <sheetData sheetId="1" refreshError="1"/>
      <sheetData sheetId="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
      <sheetName val="Glossary"/>
      <sheetName val="Business Design &amp; Prototype"/>
      <sheetName val="Company Code_POrg"/>
      <sheetName val="Country Config"/>
      <sheetName val="Addresses"/>
      <sheetName val="PO Lay Out Mapping"/>
      <sheetName val="Intervention - Commodity Code "/>
      <sheetName val="Intervention - Supplier"/>
      <sheetName val="User Group Mapping"/>
      <sheetName val="REFERENCE"/>
      <sheetName val="APPENDIX"/>
      <sheetName val="Functional Area"/>
    </sheetNames>
    <sheetDataSet>
      <sheetData sheetId="0"/>
      <sheetData sheetId="1"/>
      <sheetData sheetId="2"/>
      <sheetData sheetId="3"/>
      <sheetData sheetId="4"/>
      <sheetData sheetId="5"/>
      <sheetData sheetId="6"/>
      <sheetData sheetId="7"/>
      <sheetData sheetId="8"/>
      <sheetData sheetId="9"/>
      <sheetData sheetId="10"/>
      <sheetData sheetId="11">
        <row r="7">
          <cell r="B7" t="str">
            <v>Group Purchasing Agent</v>
          </cell>
        </row>
        <row r="8">
          <cell r="B8" t="str">
            <v>Intervention</v>
          </cell>
        </row>
        <row r="9">
          <cell r="B9" t="str">
            <v>Reporting and Query</v>
          </cell>
        </row>
        <row r="10">
          <cell r="B10" t="str">
            <v>Req and FulFill Groups</v>
          </cell>
        </row>
      </sheetData>
      <sheetData sheetId="1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
      <sheetName val="Glossary"/>
      <sheetName val="Company Code_POrg"/>
      <sheetName val="Country Config"/>
      <sheetName val="Addresses"/>
      <sheetName val="PO Lay Out Mapping"/>
      <sheetName val="Intervention - Commodity Code "/>
      <sheetName val="Intervention - Supplier"/>
      <sheetName val="REFERENCE"/>
      <sheetName val="Validation"/>
    </sheetNames>
    <sheetDataSet>
      <sheetData sheetId="0"/>
      <sheetData sheetId="1"/>
      <sheetData sheetId="2"/>
      <sheetData sheetId="3"/>
      <sheetData sheetId="4"/>
      <sheetData sheetId="5"/>
      <sheetData sheetId="6"/>
      <sheetData sheetId="7"/>
      <sheetData sheetId="8">
        <row r="3">
          <cell r="I3" t="str">
            <v>1 ADVERTISING-LTD</v>
          </cell>
        </row>
        <row r="4">
          <cell r="I4" t="str">
            <v>2 CORP HOUSING-LTD</v>
          </cell>
        </row>
        <row r="5">
          <cell r="I5" t="str">
            <v>3 ARTWORK-LTD</v>
          </cell>
        </row>
        <row r="6">
          <cell r="I6" t="str">
            <v>4 BANK/FINANCE-LTD</v>
          </cell>
        </row>
        <row r="7">
          <cell r="I7" t="str">
            <v>5 BRAND CONSULTING-LTD</v>
          </cell>
        </row>
        <row r="8">
          <cell r="I8" t="str">
            <v>6 BUSCARD/STATNRY-LTD</v>
          </cell>
        </row>
        <row r="9">
          <cell r="I9" t="str">
            <v>7 CAR LEASING-LTD</v>
          </cell>
        </row>
        <row r="10">
          <cell r="I10" t="str">
            <v>8 CAR RENTAL-LTD</v>
          </cell>
        </row>
        <row r="11">
          <cell r="I11" t="str">
            <v>9 CATERING/RESTRNT-LTD</v>
          </cell>
        </row>
        <row r="12">
          <cell r="I12" t="str">
            <v>10 CHARITBL CONTRIB-LTD</v>
          </cell>
        </row>
        <row r="13">
          <cell r="I13" t="str">
            <v>11 CLIENT ENTERTAIN-LTD</v>
          </cell>
        </row>
        <row r="14">
          <cell r="I14" t="str">
            <v>12 DESIGN SERVICES-LTD</v>
          </cell>
        </row>
        <row r="15">
          <cell r="I15" t="str">
            <v>13 DIALOGUE MKTG-LTD</v>
          </cell>
        </row>
        <row r="16">
          <cell r="I16" t="str">
            <v>14 EDUCATIONAL INST-LTD</v>
          </cell>
        </row>
        <row r="17">
          <cell r="I17" t="str">
            <v>15 FLOWERS/GIFTS-LTD</v>
          </cell>
        </row>
        <row r="18">
          <cell r="I18" t="str">
            <v>16 GOVRNMT SERVICES-LTD</v>
          </cell>
        </row>
        <row r="19">
          <cell r="I19" t="str">
            <v>17 GROUND TRANSPRT-LTD</v>
          </cell>
        </row>
        <row r="20">
          <cell r="I20" t="str">
            <v>18 RAIL/FERRY-LTD</v>
          </cell>
        </row>
        <row r="21">
          <cell r="I21" t="str">
            <v>19 HEALTHCARE-LTD</v>
          </cell>
        </row>
        <row r="22">
          <cell r="I22" t="str">
            <v>20 VENUE SERVICES-LTD</v>
          </cell>
        </row>
        <row r="23">
          <cell r="I23" t="str">
            <v>21 INSURANCE-LTD</v>
          </cell>
        </row>
        <row r="24">
          <cell r="I24" t="str">
            <v>23 MAIL/COURIERS-LTD</v>
          </cell>
        </row>
        <row r="25">
          <cell r="I25" t="str">
            <v>24 MEDIA RELATIONS-LTD</v>
          </cell>
        </row>
        <row r="26">
          <cell r="I26" t="str">
            <v>25 MEMBERSHIP DUES-LTD</v>
          </cell>
        </row>
        <row r="27">
          <cell r="I27" t="str">
            <v>26 REAL ESTATE AGCY-LTD</v>
          </cell>
        </row>
        <row r="28">
          <cell r="I28" t="str">
            <v>27 EVENT SERVICES-LTD</v>
          </cell>
        </row>
        <row r="29">
          <cell r="I29" t="str">
            <v>28 OFFICE EQUIP PUR-LTD</v>
          </cell>
        </row>
        <row r="30">
          <cell r="I30" t="str">
            <v>29 OFFICE EQUIP RNT-LTD</v>
          </cell>
        </row>
        <row r="31">
          <cell r="I31" t="str">
            <v>30 OFFICE RENTAL-LTD</v>
          </cell>
        </row>
        <row r="32">
          <cell r="I32" t="str">
            <v>31 OFFICE SUPPLIES-LTD</v>
          </cell>
        </row>
        <row r="33">
          <cell r="I33" t="str">
            <v>32 PHOTO/VIDEOGRPHY-LTD</v>
          </cell>
        </row>
        <row r="34">
          <cell r="I34" t="str">
            <v>33 PRINT/COPY/BIND-LTD</v>
          </cell>
        </row>
        <row r="35">
          <cell r="I35" t="str">
            <v>34 PROMO MRCHNDISE-LTD</v>
          </cell>
        </row>
        <row r="36">
          <cell r="I36" t="str">
            <v>35 PUBLICATN DB/RPT-LTD</v>
          </cell>
        </row>
        <row r="37">
          <cell r="I37" t="str">
            <v>36 PUBLICATN NEWS-LTD</v>
          </cell>
        </row>
        <row r="38">
          <cell r="I38" t="str">
            <v>37 RECRUITING AGCY-LTD</v>
          </cell>
        </row>
        <row r="39">
          <cell r="I39" t="str">
            <v>38 OFFICE MOVES-LTD</v>
          </cell>
        </row>
        <row r="40">
          <cell r="I40" t="str">
            <v>39 PERSONNEL RELOC-LTD</v>
          </cell>
        </row>
        <row r="41">
          <cell r="I41" t="str">
            <v>40 RESEARCH-LTD</v>
          </cell>
        </row>
        <row r="42">
          <cell r="I42" t="str">
            <v>41 SEASON TKTS LOAN-LTD</v>
          </cell>
        </row>
        <row r="43">
          <cell r="I43" t="str">
            <v>42 SPONSORSHIP FEES-LTD</v>
          </cell>
        </row>
        <row r="44">
          <cell r="I44" t="str">
            <v>43 TRAINING-LTD</v>
          </cell>
        </row>
        <row r="45">
          <cell r="I45" t="str">
            <v>44 TRAVEL AGENCIES-LTD</v>
          </cell>
        </row>
        <row r="46">
          <cell r="I46" t="str">
            <v>45 VENDOR SET UP-LTD</v>
          </cell>
        </row>
        <row r="47">
          <cell r="I47" t="str">
            <v>46 UTILITIES-LTD</v>
          </cell>
        </row>
        <row r="48">
          <cell r="I48" t="str">
            <v>47 AIR FARES-LTD</v>
          </cell>
        </row>
        <row r="49">
          <cell r="I49" t="str">
            <v>48 WAGE GRNSHMNTS-LTD</v>
          </cell>
        </row>
        <row r="50">
          <cell r="I50" t="str">
            <v>49 PROFSRVC MKTG-LTD</v>
          </cell>
        </row>
        <row r="51">
          <cell r="I51" t="str">
            <v>50 FREIGHT COST-LTD</v>
          </cell>
        </row>
        <row r="52">
          <cell r="I52" t="str">
            <v>51 BUSCARD/STATNRY-STD</v>
          </cell>
        </row>
        <row r="53">
          <cell r="I53" t="str">
            <v>52 OFFICE EQUIP PUR-STD</v>
          </cell>
        </row>
        <row r="54">
          <cell r="I54" t="str">
            <v>53 OFFICE SUPPLIES-STD</v>
          </cell>
        </row>
        <row r="55">
          <cell r="I55" t="str">
            <v>54 PROMO MRCHNDISE-STD</v>
          </cell>
        </row>
        <row r="56">
          <cell r="I56" t="str">
            <v>55 FULFILMENT-LTD</v>
          </cell>
        </row>
        <row r="57">
          <cell r="I57" t="str">
            <v>1000 COMPUTER HDWR-LTD</v>
          </cell>
        </row>
        <row r="58">
          <cell r="I58" t="str">
            <v>1001 CMPHWR ALNCE UT-LTD</v>
          </cell>
        </row>
        <row r="59">
          <cell r="I59" t="str">
            <v>1002 CMPHWR MAINT-STD</v>
          </cell>
        </row>
        <row r="60">
          <cell r="I60" t="str">
            <v>1003 CMPHWR MAINT-LTD</v>
          </cell>
        </row>
        <row r="61">
          <cell r="I61" t="str">
            <v>1004 CMPHWR MISC-STD</v>
          </cell>
        </row>
        <row r="62">
          <cell r="I62" t="str">
            <v>1005 CMPHWR MISC-LTD</v>
          </cell>
        </row>
        <row r="63">
          <cell r="I63" t="str">
            <v>1006 CMPHWR NTWK EQUP-STD</v>
          </cell>
        </row>
        <row r="64">
          <cell r="I64" t="str">
            <v>1007 CMPHWR NTWK EQUP-LTD</v>
          </cell>
        </row>
        <row r="65">
          <cell r="I65" t="str">
            <v>1008 CMPHWR PC CASE-STD</v>
          </cell>
        </row>
        <row r="66">
          <cell r="I66" t="str">
            <v>1009 CMPHWR PC CASE-LTD</v>
          </cell>
        </row>
        <row r="67">
          <cell r="I67" t="str">
            <v>1010 CMPHWR PRINTER-STD</v>
          </cell>
        </row>
        <row r="68">
          <cell r="I68" t="str">
            <v>1011 CMPHWR PRINTER-LTD</v>
          </cell>
        </row>
        <row r="69">
          <cell r="I69" t="str">
            <v>1012 CMPHWR RNT/LEASE-LTD</v>
          </cell>
        </row>
        <row r="70">
          <cell r="I70" t="str">
            <v>1013 CMPHWR RESELLER-LTD</v>
          </cell>
        </row>
        <row r="71">
          <cell r="I71" t="str">
            <v>1014 CMPHWR SERVER-LTD</v>
          </cell>
        </row>
        <row r="72">
          <cell r="I72" t="str">
            <v>1015 CMPHWR STORAGE-LTD</v>
          </cell>
        </row>
        <row r="73">
          <cell r="I73" t="str">
            <v>1016 CMPHWR DESKTOP-LTD</v>
          </cell>
        </row>
        <row r="74">
          <cell r="I74" t="str">
            <v>1017 CMPHWR LAPTOP-LTD</v>
          </cell>
        </row>
        <row r="75">
          <cell r="I75" t="str">
            <v>1018 CMPHWR RNT/LEASE-STD</v>
          </cell>
        </row>
        <row r="76">
          <cell r="I76" t="str">
            <v>1019 CMPHWR DESKTOP-STD</v>
          </cell>
        </row>
        <row r="77">
          <cell r="I77" t="str">
            <v>1020 CMPHWR LAPTOP-STD</v>
          </cell>
        </row>
        <row r="78">
          <cell r="I78" t="str">
            <v>1021 CMPHWR RESELLER-STD</v>
          </cell>
        </row>
        <row r="79">
          <cell r="I79" t="str">
            <v>1022 CMPHWR SERVER-STD</v>
          </cell>
        </row>
        <row r="80">
          <cell r="I80" t="str">
            <v>1023 CMPHWR STORAGE-STD</v>
          </cell>
        </row>
        <row r="81">
          <cell r="I81" t="str">
            <v>2000 CMP SOFTWARE-LTD</v>
          </cell>
        </row>
        <row r="82">
          <cell r="I82" t="str">
            <v>2001 CMPSWR SERVICES-LTD</v>
          </cell>
        </row>
        <row r="83">
          <cell r="I83" t="str">
            <v>2002 CMP SOFTWARE-STD</v>
          </cell>
        </row>
        <row r="84">
          <cell r="I84" t="str">
            <v>2003 CMPSWR ALNCE UT-LTD</v>
          </cell>
        </row>
        <row r="85">
          <cell r="I85" t="str">
            <v>2004 CMPSWR PACKAGED-LTD</v>
          </cell>
        </row>
        <row r="86">
          <cell r="I86" t="str">
            <v>2005 CMPSWR SUPRT/MNT-LTD</v>
          </cell>
        </row>
        <row r="87">
          <cell r="I87" t="str">
            <v>2006 IT HOSTING-LTD</v>
          </cell>
        </row>
        <row r="88">
          <cell r="I88" t="str">
            <v>3000 TELECOMS-LTD</v>
          </cell>
        </row>
        <row r="89">
          <cell r="I89" t="str">
            <v>3002 TELCOM DATA SVC-LTD</v>
          </cell>
        </row>
        <row r="90">
          <cell r="I90" t="str">
            <v>3003 TELCOM HDWR/SFWR-LTD</v>
          </cell>
        </row>
        <row r="91">
          <cell r="I91" t="str">
            <v>3004 TELCOM LEASE/RNT-LTD</v>
          </cell>
        </row>
        <row r="92">
          <cell r="I92" t="str">
            <v>3005 TELCOM MAINT-LTD</v>
          </cell>
        </row>
        <row r="93">
          <cell r="I93" t="str">
            <v>3007 TELCOM MOBIL SVC-LTD</v>
          </cell>
        </row>
        <row r="94">
          <cell r="I94" t="str">
            <v>3008 TELCOM NETWORK-LTD</v>
          </cell>
        </row>
        <row r="95">
          <cell r="I95" t="str">
            <v>3010 TELCOM REMOTE-LTD</v>
          </cell>
        </row>
        <row r="96">
          <cell r="I96" t="str">
            <v>3011 TELCOM WIRING-LTD</v>
          </cell>
        </row>
        <row r="97">
          <cell r="I97" t="str">
            <v>3012 TELCOM HDWR/SFWR-STD</v>
          </cell>
        </row>
        <row r="98">
          <cell r="I98" t="str">
            <v>3013 TELECOMS-STD</v>
          </cell>
        </row>
        <row r="99">
          <cell r="I99" t="str">
            <v>4000 FACILITY SVCS-LTD</v>
          </cell>
        </row>
        <row r="100">
          <cell r="I100" t="str">
            <v>4001 FAC BLDG MAINT-LTD</v>
          </cell>
        </row>
        <row r="101">
          <cell r="I101" t="str">
            <v>4002 FAC CONSTRUCTION-LTD</v>
          </cell>
        </row>
        <row r="102">
          <cell r="I102" t="str">
            <v>4003 FAC DOC STORAGE-LTD</v>
          </cell>
        </row>
        <row r="103">
          <cell r="I103" t="str">
            <v>4004 FAC CONSULTING-LTD</v>
          </cell>
        </row>
        <row r="104">
          <cell r="I104" t="str">
            <v>4005 FAC FURN PURCH-LTD</v>
          </cell>
        </row>
        <row r="105">
          <cell r="I105" t="str">
            <v>4006 FAC FURN RENT-LTD</v>
          </cell>
        </row>
        <row r="106">
          <cell r="I106" t="str">
            <v>4007 RISK SERVICES-LTD</v>
          </cell>
        </row>
        <row r="107">
          <cell r="I107" t="str">
            <v>4008 FAC SECURITY-LTD</v>
          </cell>
        </row>
        <row r="108">
          <cell r="I108" t="str">
            <v>4009 FAC SUPLY NONCAP-LTD</v>
          </cell>
        </row>
        <row r="109">
          <cell r="I109" t="str">
            <v>4010 FAC VENDING-LTD</v>
          </cell>
        </row>
        <row r="110">
          <cell r="I110" t="str">
            <v>4011 FAC SUPLY NONCAP-STD</v>
          </cell>
        </row>
        <row r="111">
          <cell r="I111" t="str">
            <v>4012 FACILITY SVCS-STD</v>
          </cell>
        </row>
        <row r="112">
          <cell r="I112" t="str">
            <v>5001 CNTRACTR INDP-LTD</v>
          </cell>
        </row>
        <row r="113">
          <cell r="I113" t="str">
            <v>5002 CNTRACTR SOLUTN-LTD</v>
          </cell>
        </row>
        <row r="114">
          <cell r="I114" t="str">
            <v>5003 CNTRACTR TECH-LTD</v>
          </cell>
        </row>
        <row r="115">
          <cell r="I115" t="str">
            <v>5004 CNTRACTR ADMIN-LTD</v>
          </cell>
        </row>
        <row r="116">
          <cell r="I116" t="str">
            <v>5005 PROFSRVC ACTG-LTD</v>
          </cell>
        </row>
        <row r="117">
          <cell r="I117" t="str">
            <v>5006 PROFSRVC CONSULT-LTD</v>
          </cell>
        </row>
        <row r="118">
          <cell r="I118" t="str">
            <v>5007 PROFSRVC HR-LTD</v>
          </cell>
        </row>
        <row r="119">
          <cell r="I119" t="str">
            <v>5008 PROFSRVC LEGAL-LTD</v>
          </cell>
        </row>
        <row r="120">
          <cell r="I120" t="str">
            <v>5009 PROFSRVC MISC-LTD</v>
          </cell>
        </row>
        <row r="121">
          <cell r="I121" t="str">
            <v>5010 PROFSRVC TRNSLT-LTD</v>
          </cell>
        </row>
        <row r="122">
          <cell r="I122" t="str">
            <v>5011 AWF NONTECH-STD</v>
          </cell>
        </row>
        <row r="123">
          <cell r="I123" t="str">
            <v>5012 AWF TECHNICAL-STD</v>
          </cell>
        </row>
        <row r="124">
          <cell r="I124" t="str">
            <v>5013 CNTRACTR EXPENSE-STD</v>
          </cell>
        </row>
        <row r="125">
          <cell r="I125" t="str">
            <v>5014 CNTRACTR ADMIN-STD</v>
          </cell>
        </row>
        <row r="126">
          <cell r="I126" t="str">
            <v>5015 CNTRACTR SOLUTN-STD</v>
          </cell>
        </row>
        <row r="127">
          <cell r="I127" t="str">
            <v>5016 CNTRACTR TECH-STD</v>
          </cell>
        </row>
        <row r="128">
          <cell r="I128" t="str">
            <v>5017 CNTRACTR TELSRVC-LTD</v>
          </cell>
        </row>
        <row r="129">
          <cell r="I129" t="str">
            <v>5018 CNTRACTR TELSRVC-STD</v>
          </cell>
        </row>
      </sheetData>
      <sheetData sheetId="9"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cess Control List"/>
      <sheetName val="README"/>
      <sheetName val="WR"/>
      <sheetName val="CDART AM"/>
      <sheetName val="Workplan"/>
      <sheetName val="CDART AD"/>
      <sheetName val="Reference"/>
      <sheetName val="Revision History"/>
      <sheetName val="Ranges"/>
    </sheetNames>
    <sheetDataSet>
      <sheetData sheetId="0"/>
      <sheetData sheetId="1"/>
      <sheetData sheetId="2">
        <row r="3">
          <cell r="B3">
            <v>41497</v>
          </cell>
        </row>
        <row r="7">
          <cell r="L7">
            <v>1</v>
          </cell>
        </row>
        <row r="8">
          <cell r="L8">
            <v>2</v>
          </cell>
        </row>
        <row r="9">
          <cell r="L9">
            <v>4</v>
          </cell>
        </row>
        <row r="10">
          <cell r="L10">
            <v>8</v>
          </cell>
        </row>
        <row r="11">
          <cell r="L11">
            <v>10</v>
          </cell>
        </row>
      </sheetData>
      <sheetData sheetId="3"/>
      <sheetData sheetId="4"/>
      <sheetData sheetId="5"/>
      <sheetData sheetId="6">
        <row r="2">
          <cell r="F2" t="str">
            <v>Stage</v>
          </cell>
        </row>
        <row r="3">
          <cell r="B3" t="str">
            <v>Yes</v>
          </cell>
          <cell r="C3" t="str">
            <v>P1</v>
          </cell>
          <cell r="D3" t="str">
            <v>Incident Management</v>
          </cell>
          <cell r="F3" t="str">
            <v>Plan</v>
          </cell>
        </row>
        <row r="4">
          <cell r="B4" t="str">
            <v>No</v>
          </cell>
          <cell r="C4" t="str">
            <v>P2</v>
          </cell>
          <cell r="D4" t="str">
            <v>Problem Management</v>
          </cell>
          <cell r="F4" t="str">
            <v>Analyze</v>
          </cell>
        </row>
        <row r="5">
          <cell r="C5" t="str">
            <v>P3</v>
          </cell>
          <cell r="D5" t="str">
            <v>Work Request</v>
          </cell>
          <cell r="F5" t="str">
            <v>Design</v>
          </cell>
        </row>
        <row r="6">
          <cell r="C6" t="str">
            <v>P4</v>
          </cell>
          <cell r="F6" t="str">
            <v>Build</v>
          </cell>
        </row>
        <row r="7">
          <cell r="C7" t="str">
            <v>P5</v>
          </cell>
          <cell r="F7" t="str">
            <v>Test</v>
          </cell>
        </row>
        <row r="8">
          <cell r="F8" t="str">
            <v>Deploy</v>
          </cell>
        </row>
        <row r="9">
          <cell r="F9" t="str">
            <v>Application Management</v>
          </cell>
        </row>
        <row r="10">
          <cell r="F10" t="str">
            <v>Project Management</v>
          </cell>
        </row>
        <row r="11">
          <cell r="F11" t="str">
            <v>Quality Management System</v>
          </cell>
        </row>
        <row r="12">
          <cell r="F12" t="str">
            <v>External</v>
          </cell>
        </row>
        <row r="13">
          <cell r="F13" t="str">
            <v>End to End</v>
          </cell>
        </row>
      </sheetData>
      <sheetData sheetId="7"/>
      <sheetData sheetId="8"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st Schedule"/>
      <sheetName val="Test Schedule &amp; Assignment"/>
      <sheetName val="Test Cycle Status"/>
      <sheetName val="xlat"/>
      <sheetName val="test2"/>
      <sheetName val="Document Control"/>
      <sheetName val="Read Me"/>
      <sheetName val="Code List"/>
      <sheetName val="Server Code Snippets"/>
      <sheetName val="WebComponents Code Snippets"/>
      <sheetName val="Backed Out Codes"/>
      <sheetName val="FD - TD Mapping"/>
      <sheetName val="Sheet2"/>
      <sheetName val="Reference"/>
      <sheetName val="WR"/>
      <sheetName val="Workplan"/>
      <sheetName val="Functional Area"/>
    </sheetNames>
    <sheetDataSet>
      <sheetData sheetId="0"/>
      <sheetData sheetId="1"/>
      <sheetData sheetId="2"/>
      <sheetData sheetId="3" refreshError="1">
        <row r="1">
          <cell r="A1" t="str">
            <v>X</v>
          </cell>
        </row>
        <row r="2">
          <cell r="A2" t="str">
            <v>Anna R</v>
          </cell>
        </row>
        <row r="3">
          <cell r="A3" t="str">
            <v>Joyce</v>
          </cell>
        </row>
        <row r="4">
          <cell r="A4" t="str">
            <v>Richard</v>
          </cell>
        </row>
      </sheetData>
      <sheetData sheetId="4"/>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F5CC9-38FA-4A88-8476-6982E509F139}">
  <sheetPr codeName="Sheet11">
    <tabColor rgb="FF002060"/>
  </sheetPr>
  <dimension ref="A1:BK590"/>
  <sheetViews>
    <sheetView zoomScaleNormal="100" workbookViewId="0">
      <selection activeCell="K11" sqref="K11"/>
    </sheetView>
  </sheetViews>
  <sheetFormatPr defaultRowHeight="11.25" x14ac:dyDescent="0.25"/>
  <cols>
    <col min="1" max="1" width="11.85546875" style="34" bestFit="1" customWidth="1"/>
    <col min="2" max="2" width="12.7109375" style="129" bestFit="1" customWidth="1"/>
    <col min="3" max="3" width="20.85546875" style="34" bestFit="1" customWidth="1"/>
    <col min="4" max="4" width="15.7109375" style="34" bestFit="1" customWidth="1"/>
    <col min="5" max="5" width="18" style="34" bestFit="1" customWidth="1"/>
    <col min="6" max="6" width="12.42578125" style="34" customWidth="1"/>
    <col min="7" max="7" width="16.140625" style="34" customWidth="1"/>
    <col min="8" max="8" width="10.5703125" style="34" bestFit="1" customWidth="1"/>
    <col min="9" max="9" width="10.5703125" style="34" customWidth="1"/>
    <col min="10" max="10" width="13.7109375" style="34" bestFit="1" customWidth="1"/>
    <col min="11" max="11" width="24.85546875" style="34" bestFit="1" customWidth="1"/>
    <col min="12" max="12" width="12.7109375" style="34" customWidth="1"/>
    <col min="13" max="13" width="13.7109375" style="34" customWidth="1"/>
    <col min="14" max="16" width="13" style="34" bestFit="1" customWidth="1"/>
    <col min="17" max="17" width="19" style="34" customWidth="1"/>
    <col min="18" max="18" width="16.7109375" style="34" customWidth="1"/>
    <col min="19" max="19" width="14.140625" style="34" bestFit="1" customWidth="1"/>
    <col min="20" max="20" width="20.5703125" style="34" customWidth="1"/>
    <col min="21" max="21" width="12.42578125" style="34" customWidth="1"/>
    <col min="22" max="22" width="18.28515625" style="34" customWidth="1"/>
    <col min="23" max="24" width="11.7109375" style="34" customWidth="1"/>
    <col min="25" max="25" width="16.28515625" style="34" customWidth="1"/>
    <col min="26" max="26" width="13.85546875" style="34" customWidth="1"/>
    <col min="27" max="30" width="11.7109375" style="34" customWidth="1"/>
    <col min="31" max="31" width="9.5703125" style="34" bestFit="1" customWidth="1"/>
    <col min="32" max="32" width="16" style="34" bestFit="1" customWidth="1"/>
    <col min="33" max="33" width="9.28515625" style="34" customWidth="1"/>
    <col min="34" max="34" width="9.140625" style="34"/>
    <col min="35" max="35" width="13.7109375" style="34" bestFit="1" customWidth="1"/>
    <col min="36" max="36" width="14.140625" style="34" customWidth="1"/>
    <col min="37" max="39" width="11.7109375" style="34" customWidth="1"/>
    <col min="40" max="40" width="16.85546875" style="34" customWidth="1"/>
    <col min="41" max="41" width="11.7109375" style="34" customWidth="1"/>
    <col min="42" max="48" width="9.140625" style="34" customWidth="1"/>
    <col min="49" max="49" width="9.42578125" style="34" customWidth="1"/>
    <col min="50" max="50" width="17.28515625" style="34" bestFit="1" customWidth="1"/>
    <col min="51" max="51" width="16.28515625" style="34" bestFit="1" customWidth="1"/>
    <col min="52" max="52" width="10.85546875" style="34" bestFit="1" customWidth="1"/>
    <col min="53" max="53" width="10.5703125" style="34" bestFit="1" customWidth="1"/>
    <col min="54" max="54" width="11.7109375" style="34" bestFit="1" customWidth="1"/>
    <col min="55" max="55" width="9.140625" style="34"/>
    <col min="56" max="56" width="9.85546875" style="34" customWidth="1"/>
    <col min="57" max="57" width="11.7109375" style="34" bestFit="1" customWidth="1"/>
    <col min="58" max="58" width="9.140625" style="34"/>
    <col min="59" max="59" width="12.5703125" style="34" bestFit="1" customWidth="1"/>
    <col min="60" max="61" width="0" style="34" hidden="1" customWidth="1"/>
    <col min="62" max="63" width="11.7109375" style="34" hidden="1" customWidth="1"/>
    <col min="64" max="16384" width="9.140625" style="34"/>
  </cols>
  <sheetData>
    <row r="1" spans="1:17" s="121" customFormat="1" ht="15.75" customHeight="1" x14ac:dyDescent="0.25">
      <c r="A1" s="138" t="s">
        <v>0</v>
      </c>
      <c r="B1" s="138"/>
      <c r="C1" s="138"/>
      <c r="D1" s="139" t="s">
        <v>1</v>
      </c>
      <c r="E1" s="139"/>
      <c r="F1" s="139"/>
      <c r="G1" s="139"/>
      <c r="H1" s="139"/>
      <c r="I1" s="139"/>
      <c r="J1" s="119"/>
      <c r="K1" s="130" t="s">
        <v>2</v>
      </c>
      <c r="L1" s="140" t="s">
        <v>3</v>
      </c>
      <c r="M1" s="140"/>
      <c r="N1" s="120" t="s">
        <v>4</v>
      </c>
      <c r="O1" s="141" t="s">
        <v>5</v>
      </c>
      <c r="P1" s="141"/>
      <c r="Q1" s="141"/>
    </row>
    <row r="2" spans="1:17" s="121" customFormat="1" ht="15" x14ac:dyDescent="0.25">
      <c r="A2" s="118" t="s">
        <v>6</v>
      </c>
      <c r="B2" s="118" t="s">
        <v>7</v>
      </c>
      <c r="C2" s="118" t="s">
        <v>8</v>
      </c>
      <c r="D2" s="122" t="s">
        <v>9</v>
      </c>
      <c r="E2" s="122" t="s">
        <v>10</v>
      </c>
      <c r="F2" s="122" t="s">
        <v>11</v>
      </c>
      <c r="G2" s="123" t="s">
        <v>12</v>
      </c>
      <c r="H2" s="122" t="s">
        <v>13</v>
      </c>
      <c r="I2" s="122" t="s">
        <v>14</v>
      </c>
      <c r="J2" s="122" t="s">
        <v>15</v>
      </c>
      <c r="K2" s="131" t="s">
        <v>16</v>
      </c>
      <c r="L2" s="124" t="s">
        <v>17</v>
      </c>
      <c r="M2" s="124" t="s">
        <v>18</v>
      </c>
      <c r="N2" s="124" t="s">
        <v>19</v>
      </c>
      <c r="O2" s="125" t="s">
        <v>20</v>
      </c>
      <c r="P2" s="125" t="s">
        <v>21</v>
      </c>
      <c r="Q2" s="125" t="s">
        <v>22</v>
      </c>
    </row>
    <row r="3" spans="1:17" s="121" customFormat="1" ht="13.5" customHeight="1" x14ac:dyDescent="0.25">
      <c r="A3" s="126" t="s">
        <v>23</v>
      </c>
      <c r="B3" s="127" t="s">
        <v>24</v>
      </c>
      <c r="C3" s="126" t="s">
        <v>25</v>
      </c>
      <c r="D3" s="127" t="s">
        <v>26</v>
      </c>
      <c r="E3" s="127" t="s">
        <v>26</v>
      </c>
      <c r="F3" s="127" t="s">
        <v>27</v>
      </c>
      <c r="G3" s="126" t="s">
        <v>28</v>
      </c>
      <c r="H3" s="127" t="s">
        <v>29</v>
      </c>
      <c r="I3" s="127">
        <v>100327134</v>
      </c>
      <c r="J3" s="127"/>
      <c r="K3" s="132">
        <v>1900003213</v>
      </c>
      <c r="L3" s="127">
        <v>100327134</v>
      </c>
      <c r="M3" s="127">
        <v>100327134</v>
      </c>
      <c r="N3" s="128" t="s">
        <v>30</v>
      </c>
      <c r="O3" s="128">
        <v>1000</v>
      </c>
      <c r="P3" s="128" t="s">
        <v>31</v>
      </c>
      <c r="Q3" s="126">
        <v>2025</v>
      </c>
    </row>
    <row r="4" spans="1:17" ht="15" x14ac:dyDescent="0.2">
      <c r="A4" s="83" t="s">
        <v>23</v>
      </c>
      <c r="B4" s="83" t="s">
        <v>1506</v>
      </c>
      <c r="C4" s="133" t="s">
        <v>1505</v>
      </c>
      <c r="D4" s="134" t="s">
        <v>263</v>
      </c>
      <c r="E4" s="83"/>
      <c r="F4" s="83"/>
      <c r="G4" s="95">
        <v>8000</v>
      </c>
      <c r="H4" s="83"/>
      <c r="I4" s="95">
        <v>5000109</v>
      </c>
      <c r="K4" s="136" t="s">
        <v>1507</v>
      </c>
      <c r="L4" s="95"/>
      <c r="M4" s="95"/>
      <c r="O4" s="34" t="s">
        <v>1509</v>
      </c>
      <c r="P4" s="34" t="s">
        <v>222</v>
      </c>
      <c r="Q4" s="83">
        <v>2025</v>
      </c>
    </row>
    <row r="5" spans="1:17" ht="15" x14ac:dyDescent="0.2">
      <c r="A5" s="83"/>
      <c r="B5" s="83"/>
      <c r="C5" s="133"/>
      <c r="D5" s="134"/>
      <c r="E5" s="83"/>
      <c r="F5" s="83"/>
      <c r="G5" s="95"/>
      <c r="H5" s="83"/>
      <c r="I5" s="95"/>
      <c r="K5" s="136"/>
      <c r="L5" s="95"/>
      <c r="M5" s="95"/>
      <c r="Q5" s="83"/>
    </row>
    <row r="6" spans="1:17" ht="15" x14ac:dyDescent="0.2">
      <c r="A6" s="83"/>
      <c r="B6" s="83"/>
      <c r="C6" s="133"/>
      <c r="D6" s="134"/>
      <c r="E6" s="83"/>
      <c r="F6" s="83"/>
      <c r="G6" s="95"/>
      <c r="H6" s="83"/>
      <c r="I6" s="95"/>
      <c r="K6" s="136"/>
      <c r="L6" s="95"/>
      <c r="M6" s="95"/>
      <c r="Q6" s="83"/>
    </row>
    <row r="7" spans="1:17" ht="15" x14ac:dyDescent="0.2">
      <c r="A7" s="83"/>
      <c r="B7" s="83"/>
      <c r="C7" s="133"/>
      <c r="D7" s="134"/>
      <c r="E7" s="83"/>
      <c r="F7" s="83"/>
      <c r="G7" s="95"/>
      <c r="H7" s="83"/>
      <c r="I7" s="95"/>
      <c r="K7" s="136"/>
      <c r="L7" s="95"/>
      <c r="M7" s="95"/>
      <c r="Q7" s="83"/>
    </row>
    <row r="8" spans="1:17" ht="15" x14ac:dyDescent="0.2">
      <c r="A8" s="83"/>
      <c r="B8" s="83"/>
      <c r="C8" s="133"/>
      <c r="D8" s="134"/>
      <c r="E8" s="83"/>
      <c r="F8" s="83"/>
      <c r="G8" s="95"/>
      <c r="H8" s="83"/>
      <c r="I8" s="95"/>
      <c r="K8" s="136"/>
      <c r="L8" s="95"/>
      <c r="M8" s="95"/>
      <c r="Q8" s="83"/>
    </row>
    <row r="9" spans="1:17" ht="15" x14ac:dyDescent="0.2">
      <c r="A9" s="83"/>
      <c r="B9" s="83"/>
      <c r="C9" s="133"/>
      <c r="D9" s="134"/>
      <c r="E9" s="83"/>
      <c r="F9" s="83"/>
      <c r="G9" s="95"/>
      <c r="H9" s="83"/>
      <c r="I9" s="95"/>
      <c r="K9" s="136"/>
      <c r="L9" s="95"/>
      <c r="M9" s="95"/>
      <c r="Q9" s="83"/>
    </row>
    <row r="10" spans="1:17" ht="15" x14ac:dyDescent="0.2">
      <c r="A10" s="83"/>
      <c r="B10" s="83"/>
      <c r="C10" s="133"/>
      <c r="D10" s="134"/>
      <c r="E10" s="83"/>
      <c r="F10" s="83"/>
      <c r="G10" s="95"/>
      <c r="H10" s="83"/>
      <c r="I10" s="95"/>
      <c r="K10" s="136"/>
      <c r="L10" s="95"/>
      <c r="M10" s="95"/>
      <c r="Q10" s="83"/>
    </row>
    <row r="11" spans="1:17" ht="15" x14ac:dyDescent="0.2">
      <c r="A11" s="83"/>
      <c r="B11" s="83"/>
      <c r="C11" s="133"/>
      <c r="D11" s="134"/>
      <c r="E11" s="83"/>
      <c r="F11" s="83"/>
      <c r="G11" s="95"/>
      <c r="H11" s="83"/>
      <c r="I11" s="95"/>
      <c r="K11" s="136"/>
      <c r="L11" s="95"/>
      <c r="M11" s="95"/>
      <c r="Q11" s="83"/>
    </row>
    <row r="12" spans="1:17" ht="15" x14ac:dyDescent="0.2">
      <c r="A12" s="83"/>
      <c r="B12" s="83"/>
      <c r="C12" s="133"/>
      <c r="D12" s="134"/>
      <c r="E12" s="83"/>
      <c r="F12" s="83"/>
      <c r="G12" s="95"/>
      <c r="H12" s="83"/>
      <c r="I12" s="95"/>
      <c r="K12" s="136"/>
      <c r="L12" s="95"/>
      <c r="M12" s="95"/>
      <c r="Q12" s="83"/>
    </row>
    <row r="13" spans="1:17" ht="15" x14ac:dyDescent="0.2">
      <c r="A13" s="83"/>
      <c r="B13" s="83"/>
      <c r="C13" s="133"/>
      <c r="D13" s="134"/>
      <c r="E13" s="83"/>
      <c r="F13" s="83"/>
      <c r="G13" s="95"/>
      <c r="H13" s="83"/>
      <c r="I13" s="95"/>
      <c r="K13" s="136"/>
      <c r="L13" s="95"/>
      <c r="M13" s="95"/>
      <c r="Q13" s="83"/>
    </row>
    <row r="14" spans="1:17" ht="15" x14ac:dyDescent="0.2">
      <c r="A14" s="83"/>
      <c r="B14" s="83"/>
      <c r="C14" s="133"/>
      <c r="D14" s="134"/>
      <c r="E14" s="83"/>
      <c r="F14" s="83"/>
      <c r="G14" s="95"/>
      <c r="H14" s="83"/>
      <c r="I14" s="95"/>
      <c r="K14" s="136"/>
      <c r="L14" s="95"/>
      <c r="M14" s="95"/>
      <c r="Q14" s="83"/>
    </row>
    <row r="15" spans="1:17" ht="15" x14ac:dyDescent="0.2">
      <c r="A15" s="83"/>
      <c r="B15" s="83"/>
      <c r="C15" s="133"/>
      <c r="D15" s="134"/>
      <c r="E15" s="83"/>
      <c r="F15" s="83"/>
      <c r="G15" s="95"/>
      <c r="H15" s="83"/>
      <c r="I15" s="95"/>
      <c r="K15" s="136"/>
      <c r="L15" s="95"/>
      <c r="M15" s="95"/>
      <c r="Q15" s="83"/>
    </row>
    <row r="16" spans="1:17" ht="15" x14ac:dyDescent="0.2">
      <c r="A16" s="83"/>
      <c r="B16" s="83"/>
      <c r="C16" s="133"/>
      <c r="D16" s="134"/>
      <c r="E16" s="83"/>
      <c r="F16" s="83"/>
      <c r="G16" s="95"/>
      <c r="H16" s="83"/>
      <c r="I16" s="95"/>
      <c r="K16" s="136"/>
      <c r="L16" s="95"/>
      <c r="M16" s="95"/>
      <c r="Q16" s="83"/>
    </row>
    <row r="17" spans="1:17" ht="15" x14ac:dyDescent="0.2">
      <c r="A17" s="83"/>
      <c r="B17" s="83"/>
      <c r="C17" s="133"/>
      <c r="D17" s="134"/>
      <c r="E17" s="83"/>
      <c r="F17" s="83"/>
      <c r="G17" s="95"/>
      <c r="H17" s="83"/>
      <c r="I17" s="95"/>
      <c r="K17" s="136"/>
      <c r="L17" s="95"/>
      <c r="M17" s="95"/>
      <c r="Q17" s="83"/>
    </row>
    <row r="18" spans="1:17" ht="15" x14ac:dyDescent="0.2">
      <c r="A18" s="83"/>
      <c r="B18" s="83"/>
      <c r="C18" s="133"/>
      <c r="D18" s="134"/>
      <c r="E18" s="83"/>
      <c r="F18" s="83"/>
      <c r="G18" s="95"/>
      <c r="H18" s="83"/>
      <c r="I18" s="95"/>
      <c r="K18" s="136"/>
      <c r="L18" s="95"/>
      <c r="M18" s="95"/>
      <c r="Q18" s="83"/>
    </row>
    <row r="19" spans="1:17" ht="15" x14ac:dyDescent="0.2">
      <c r="A19" s="83"/>
      <c r="B19" s="83"/>
      <c r="C19" s="133"/>
      <c r="D19" s="134"/>
      <c r="E19" s="83"/>
      <c r="F19" s="83"/>
      <c r="G19" s="95"/>
      <c r="H19" s="83"/>
      <c r="I19" s="95"/>
      <c r="K19" s="136"/>
      <c r="L19" s="95"/>
      <c r="M19" s="95"/>
      <c r="Q19" s="83"/>
    </row>
    <row r="20" spans="1:17" ht="15" x14ac:dyDescent="0.2">
      <c r="A20" s="83"/>
      <c r="B20" s="83"/>
      <c r="C20" s="133"/>
      <c r="D20" s="134"/>
      <c r="E20" s="83"/>
      <c r="F20" s="83"/>
      <c r="G20" s="95"/>
      <c r="H20" s="83"/>
      <c r="I20" s="95"/>
      <c r="K20" s="136"/>
      <c r="L20" s="95"/>
      <c r="M20" s="95"/>
      <c r="Q20" s="83"/>
    </row>
    <row r="21" spans="1:17" ht="15" x14ac:dyDescent="0.2">
      <c r="A21" s="83"/>
      <c r="B21" s="83"/>
      <c r="C21" s="133"/>
      <c r="D21" s="134"/>
      <c r="E21" s="83"/>
      <c r="F21" s="83"/>
      <c r="G21" s="95"/>
      <c r="H21" s="83"/>
      <c r="I21" s="95"/>
      <c r="K21" s="136"/>
      <c r="L21" s="95"/>
      <c r="M21" s="95"/>
      <c r="Q21" s="83"/>
    </row>
    <row r="22" spans="1:17" ht="15" x14ac:dyDescent="0.2">
      <c r="A22" s="83"/>
      <c r="B22" s="83"/>
      <c r="C22" s="133"/>
      <c r="D22" s="134"/>
      <c r="E22" s="83"/>
      <c r="F22" s="83"/>
      <c r="G22" s="95"/>
      <c r="H22" s="83"/>
      <c r="I22" s="95"/>
      <c r="K22" s="136"/>
      <c r="L22" s="95"/>
      <c r="M22" s="95"/>
      <c r="Q22" s="83"/>
    </row>
    <row r="23" spans="1:17" ht="15" x14ac:dyDescent="0.2">
      <c r="A23" s="83"/>
      <c r="B23" s="83"/>
      <c r="C23" s="133"/>
      <c r="D23" s="134"/>
      <c r="E23" s="83"/>
      <c r="F23" s="83"/>
      <c r="G23" s="95"/>
      <c r="H23" s="83"/>
      <c r="I23" s="95"/>
      <c r="K23" s="136"/>
      <c r="L23" s="95"/>
      <c r="M23" s="95"/>
      <c r="Q23" s="83"/>
    </row>
    <row r="24" spans="1:17" ht="15" x14ac:dyDescent="0.2">
      <c r="A24" s="83"/>
      <c r="B24" s="83"/>
      <c r="C24" s="133"/>
      <c r="D24" s="134"/>
      <c r="E24" s="83"/>
      <c r="F24" s="83"/>
      <c r="G24" s="95"/>
      <c r="H24" s="83"/>
      <c r="I24" s="95"/>
      <c r="K24" s="136"/>
      <c r="L24" s="95"/>
      <c r="M24" s="95"/>
      <c r="Q24" s="83"/>
    </row>
    <row r="25" spans="1:17" ht="15" x14ac:dyDescent="0.2">
      <c r="A25" s="83"/>
      <c r="B25" s="83"/>
      <c r="C25" s="133"/>
      <c r="D25" s="134"/>
      <c r="E25" s="83"/>
      <c r="F25" s="83"/>
      <c r="G25" s="95"/>
      <c r="H25" s="83"/>
      <c r="I25" s="95"/>
      <c r="K25" s="136"/>
      <c r="L25" s="95"/>
      <c r="M25" s="95"/>
      <c r="Q25" s="83"/>
    </row>
    <row r="26" spans="1:17" ht="15" x14ac:dyDescent="0.2">
      <c r="A26" s="83"/>
      <c r="B26" s="83"/>
      <c r="C26" s="133"/>
      <c r="D26" s="134"/>
      <c r="E26" s="83"/>
      <c r="F26" s="83"/>
      <c r="G26" s="95"/>
      <c r="H26" s="83"/>
      <c r="I26" s="95"/>
      <c r="K26" s="136"/>
      <c r="L26" s="95"/>
      <c r="M26" s="95"/>
      <c r="Q26" s="83"/>
    </row>
    <row r="27" spans="1:17" ht="15" x14ac:dyDescent="0.2">
      <c r="A27" s="83"/>
      <c r="B27" s="83"/>
      <c r="C27" s="133"/>
      <c r="D27" s="134"/>
      <c r="E27" s="83"/>
      <c r="F27" s="83"/>
      <c r="G27" s="95"/>
      <c r="H27" s="83"/>
      <c r="I27" s="95"/>
      <c r="K27" s="136"/>
      <c r="L27" s="95"/>
      <c r="M27" s="95"/>
      <c r="Q27" s="83"/>
    </row>
    <row r="28" spans="1:17" ht="15" x14ac:dyDescent="0.2">
      <c r="A28" s="83"/>
      <c r="B28" s="83"/>
      <c r="C28" s="133"/>
      <c r="D28" s="134"/>
      <c r="E28" s="83"/>
      <c r="F28" s="83"/>
      <c r="G28" s="95"/>
      <c r="H28" s="83"/>
      <c r="I28" s="95"/>
      <c r="K28" s="136"/>
      <c r="L28" s="95"/>
      <c r="M28" s="95"/>
      <c r="Q28" s="83"/>
    </row>
    <row r="29" spans="1:17" ht="15" x14ac:dyDescent="0.2">
      <c r="A29" s="83"/>
      <c r="B29" s="83"/>
      <c r="C29" s="133"/>
      <c r="D29" s="134"/>
      <c r="E29" s="83"/>
      <c r="F29" s="83"/>
      <c r="G29" s="95"/>
      <c r="H29" s="83"/>
      <c r="I29" s="95"/>
      <c r="K29" s="136"/>
      <c r="L29" s="95"/>
      <c r="M29" s="95"/>
      <c r="Q29" s="83"/>
    </row>
    <row r="30" spans="1:17" ht="15" x14ac:dyDescent="0.2">
      <c r="A30" s="83"/>
      <c r="B30" s="83"/>
      <c r="C30" s="133"/>
      <c r="D30" s="134"/>
      <c r="E30" s="83"/>
      <c r="F30" s="83"/>
      <c r="G30" s="95"/>
      <c r="H30" s="83"/>
      <c r="I30" s="95"/>
      <c r="K30" s="136"/>
      <c r="L30" s="95"/>
      <c r="M30" s="95"/>
      <c r="Q30" s="83"/>
    </row>
    <row r="31" spans="1:17" ht="15" x14ac:dyDescent="0.2">
      <c r="A31" s="83"/>
      <c r="B31" s="83"/>
      <c r="C31" s="133"/>
      <c r="D31" s="134"/>
      <c r="E31" s="83"/>
      <c r="F31" s="83"/>
      <c r="G31" s="95"/>
      <c r="H31" s="83"/>
      <c r="I31" s="95"/>
      <c r="K31" s="136"/>
      <c r="L31" s="95"/>
      <c r="M31" s="95"/>
      <c r="Q31" s="83"/>
    </row>
    <row r="32" spans="1:17" ht="15" x14ac:dyDescent="0.2">
      <c r="A32" s="83"/>
      <c r="B32" s="83"/>
      <c r="C32" s="133"/>
      <c r="D32" s="134"/>
      <c r="E32" s="83"/>
      <c r="F32" s="83"/>
      <c r="G32" s="95"/>
      <c r="H32" s="83"/>
      <c r="I32" s="95"/>
      <c r="K32" s="136"/>
      <c r="L32" s="95"/>
      <c r="M32" s="95"/>
      <c r="Q32" s="83"/>
    </row>
    <row r="33" spans="1:17" ht="15" x14ac:dyDescent="0.2">
      <c r="A33" s="83"/>
      <c r="B33" s="83"/>
      <c r="C33" s="133"/>
      <c r="D33" s="134"/>
      <c r="E33" s="83"/>
      <c r="F33" s="83"/>
      <c r="G33" s="95"/>
      <c r="H33" s="83"/>
      <c r="I33" s="95"/>
      <c r="K33" s="136"/>
      <c r="L33" s="95"/>
      <c r="M33" s="95"/>
      <c r="Q33" s="83"/>
    </row>
    <row r="34" spans="1:17" ht="15" x14ac:dyDescent="0.2">
      <c r="A34" s="83"/>
      <c r="B34" s="83"/>
      <c r="C34" s="133"/>
      <c r="D34" s="134"/>
      <c r="E34" s="83"/>
      <c r="F34" s="83"/>
      <c r="G34" s="95"/>
      <c r="H34" s="83"/>
      <c r="I34" s="95"/>
      <c r="K34" s="136"/>
      <c r="L34" s="95"/>
      <c r="M34" s="95"/>
      <c r="Q34" s="83"/>
    </row>
    <row r="35" spans="1:17" ht="15" x14ac:dyDescent="0.2">
      <c r="A35" s="83"/>
      <c r="B35" s="83"/>
      <c r="C35" s="133"/>
      <c r="D35" s="134"/>
      <c r="E35" s="83"/>
      <c r="F35" s="83"/>
      <c r="G35" s="95"/>
      <c r="H35" s="83"/>
      <c r="I35" s="95"/>
      <c r="K35" s="136"/>
      <c r="L35" s="95"/>
      <c r="M35" s="95"/>
      <c r="Q35" s="83"/>
    </row>
    <row r="36" spans="1:17" ht="15" x14ac:dyDescent="0.2">
      <c r="A36" s="83"/>
      <c r="B36" s="83"/>
      <c r="C36" s="133"/>
      <c r="D36" s="134"/>
      <c r="E36" s="83"/>
      <c r="F36" s="83"/>
      <c r="G36" s="95"/>
      <c r="H36" s="83"/>
      <c r="I36" s="95"/>
      <c r="K36" s="136"/>
      <c r="L36" s="95"/>
      <c r="M36" s="95"/>
      <c r="Q36" s="83"/>
    </row>
    <row r="37" spans="1:17" ht="15" x14ac:dyDescent="0.2">
      <c r="A37" s="83"/>
      <c r="B37" s="83"/>
      <c r="C37" s="133"/>
      <c r="D37" s="134"/>
      <c r="E37" s="83"/>
      <c r="F37" s="83"/>
      <c r="G37" s="95"/>
      <c r="H37" s="83"/>
      <c r="I37" s="95"/>
      <c r="K37" s="136"/>
      <c r="L37" s="95"/>
      <c r="M37" s="95"/>
      <c r="Q37" s="83"/>
    </row>
    <row r="38" spans="1:17" ht="15" x14ac:dyDescent="0.2">
      <c r="A38" s="83"/>
      <c r="B38" s="83"/>
      <c r="C38" s="133"/>
      <c r="D38" s="134"/>
      <c r="E38" s="83"/>
      <c r="F38" s="83"/>
      <c r="G38" s="95"/>
      <c r="H38" s="83"/>
      <c r="I38" s="95"/>
      <c r="K38" s="136"/>
      <c r="L38" s="95"/>
      <c r="M38" s="95"/>
      <c r="Q38" s="83"/>
    </row>
    <row r="39" spans="1:17" ht="15" x14ac:dyDescent="0.2">
      <c r="A39" s="83"/>
      <c r="B39" s="83"/>
      <c r="C39" s="133"/>
      <c r="D39" s="134"/>
      <c r="E39" s="83"/>
      <c r="F39" s="83"/>
      <c r="G39" s="95"/>
      <c r="H39" s="83"/>
      <c r="I39" s="95"/>
      <c r="K39" s="136"/>
      <c r="L39" s="95"/>
      <c r="M39" s="95"/>
      <c r="Q39" s="83"/>
    </row>
    <row r="40" spans="1:17" ht="15" x14ac:dyDescent="0.2">
      <c r="A40" s="83"/>
      <c r="B40" s="83"/>
      <c r="C40" s="133"/>
      <c r="D40" s="134"/>
      <c r="E40" s="83"/>
      <c r="F40" s="83"/>
      <c r="G40" s="95"/>
      <c r="H40" s="83"/>
      <c r="I40" s="95"/>
      <c r="K40" s="136"/>
      <c r="L40" s="95"/>
      <c r="M40" s="95"/>
      <c r="Q40" s="83"/>
    </row>
    <row r="41" spans="1:17" ht="15" x14ac:dyDescent="0.2">
      <c r="A41" s="83"/>
      <c r="B41" s="83"/>
      <c r="C41" s="133"/>
      <c r="D41" s="134"/>
      <c r="E41" s="83"/>
      <c r="F41" s="83"/>
      <c r="G41" s="95"/>
      <c r="H41" s="83"/>
      <c r="I41" s="95"/>
      <c r="K41" s="136"/>
      <c r="L41" s="95"/>
      <c r="M41" s="95"/>
      <c r="Q41" s="83"/>
    </row>
    <row r="42" spans="1:17" ht="15" x14ac:dyDescent="0.2">
      <c r="A42" s="83"/>
      <c r="B42" s="83"/>
      <c r="C42" s="133"/>
      <c r="D42" s="134"/>
      <c r="E42" s="83"/>
      <c r="F42" s="83"/>
      <c r="G42" s="95"/>
      <c r="H42" s="83"/>
      <c r="I42" s="95"/>
      <c r="K42" s="136"/>
      <c r="L42" s="95"/>
      <c r="M42" s="95"/>
      <c r="Q42" s="83"/>
    </row>
    <row r="43" spans="1:17" ht="15" x14ac:dyDescent="0.2">
      <c r="A43" s="83"/>
      <c r="B43" s="83"/>
      <c r="C43" s="133"/>
      <c r="D43" s="134"/>
      <c r="E43" s="83"/>
      <c r="F43" s="83"/>
      <c r="G43" s="95"/>
      <c r="H43" s="83"/>
      <c r="I43" s="95"/>
      <c r="K43" s="136"/>
      <c r="L43" s="95"/>
      <c r="M43" s="95"/>
      <c r="Q43" s="83"/>
    </row>
    <row r="44" spans="1:17" ht="15" x14ac:dyDescent="0.2">
      <c r="A44" s="83"/>
      <c r="B44" s="83"/>
      <c r="C44" s="133"/>
      <c r="D44" s="134"/>
      <c r="E44" s="83"/>
      <c r="F44" s="83"/>
      <c r="G44" s="95"/>
      <c r="H44" s="83"/>
      <c r="I44" s="95"/>
      <c r="K44" s="136"/>
      <c r="L44" s="95"/>
      <c r="M44" s="95"/>
      <c r="Q44" s="83"/>
    </row>
    <row r="45" spans="1:17" ht="15" x14ac:dyDescent="0.2">
      <c r="A45" s="83"/>
      <c r="B45" s="83"/>
      <c r="C45" s="133"/>
      <c r="D45" s="134"/>
      <c r="E45" s="83"/>
      <c r="F45" s="83"/>
      <c r="G45" s="95"/>
      <c r="H45" s="83"/>
      <c r="I45" s="95"/>
      <c r="K45" s="136"/>
      <c r="L45" s="95"/>
      <c r="M45" s="95"/>
      <c r="Q45" s="83"/>
    </row>
    <row r="46" spans="1:17" ht="15" x14ac:dyDescent="0.2">
      <c r="A46" s="83"/>
      <c r="B46" s="83"/>
      <c r="C46" s="133"/>
      <c r="D46" s="134"/>
      <c r="E46" s="83"/>
      <c r="F46" s="83"/>
      <c r="G46" s="95"/>
      <c r="H46" s="83"/>
      <c r="I46" s="95"/>
      <c r="K46" s="136"/>
      <c r="L46" s="95"/>
      <c r="M46" s="95"/>
      <c r="Q46" s="83"/>
    </row>
    <row r="47" spans="1:17" ht="15" x14ac:dyDescent="0.2">
      <c r="A47" s="83"/>
      <c r="B47" s="83"/>
      <c r="C47" s="133"/>
      <c r="D47" s="134"/>
      <c r="E47" s="83"/>
      <c r="F47" s="83"/>
      <c r="G47" s="95"/>
      <c r="H47" s="83"/>
      <c r="I47" s="95"/>
      <c r="K47" s="136"/>
      <c r="L47" s="95"/>
      <c r="M47" s="95"/>
      <c r="Q47" s="83"/>
    </row>
    <row r="48" spans="1:17" ht="15" x14ac:dyDescent="0.2">
      <c r="A48" s="83"/>
      <c r="B48" s="83"/>
      <c r="C48" s="133"/>
      <c r="D48" s="134"/>
      <c r="E48" s="83"/>
      <c r="F48" s="83"/>
      <c r="G48" s="95"/>
      <c r="H48" s="83"/>
      <c r="I48" s="95"/>
      <c r="K48" s="136"/>
      <c r="L48" s="95"/>
      <c r="M48" s="95"/>
      <c r="Q48" s="83"/>
    </row>
    <row r="49" spans="1:17" ht="15" x14ac:dyDescent="0.2">
      <c r="A49" s="83"/>
      <c r="B49" s="83"/>
      <c r="C49" s="133"/>
      <c r="D49" s="134"/>
      <c r="E49" s="83"/>
      <c r="F49" s="83"/>
      <c r="G49" s="95"/>
      <c r="H49" s="83"/>
      <c r="I49" s="95"/>
      <c r="K49" s="136"/>
      <c r="L49" s="95"/>
      <c r="M49" s="95"/>
      <c r="Q49" s="83"/>
    </row>
    <row r="50" spans="1:17" ht="15" x14ac:dyDescent="0.2">
      <c r="A50" s="83"/>
      <c r="B50" s="83"/>
      <c r="C50" s="133"/>
      <c r="D50" s="134"/>
      <c r="E50" s="83"/>
      <c r="F50" s="83"/>
      <c r="G50" s="95"/>
      <c r="H50" s="83"/>
      <c r="I50" s="95"/>
      <c r="K50" s="136"/>
      <c r="L50" s="95"/>
      <c r="M50" s="95"/>
      <c r="Q50" s="83"/>
    </row>
    <row r="51" spans="1:17" ht="15" x14ac:dyDescent="0.2">
      <c r="A51" s="83"/>
      <c r="B51" s="83"/>
      <c r="C51" s="133"/>
      <c r="D51" s="134"/>
      <c r="E51" s="83"/>
      <c r="F51" s="83"/>
      <c r="G51" s="95"/>
      <c r="H51" s="83"/>
      <c r="I51" s="95"/>
      <c r="K51" s="136"/>
      <c r="L51" s="95"/>
      <c r="M51" s="95"/>
      <c r="Q51" s="83"/>
    </row>
    <row r="52" spans="1:17" ht="15" x14ac:dyDescent="0.2">
      <c r="A52" s="83"/>
      <c r="B52" s="83"/>
      <c r="C52" s="133"/>
      <c r="D52" s="134"/>
      <c r="E52" s="83"/>
      <c r="F52" s="83"/>
      <c r="G52" s="95"/>
      <c r="H52" s="83"/>
      <c r="I52" s="95"/>
      <c r="K52" s="136"/>
      <c r="L52" s="95"/>
      <c r="M52" s="95"/>
      <c r="Q52" s="83"/>
    </row>
    <row r="53" spans="1:17" ht="15" x14ac:dyDescent="0.2">
      <c r="A53" s="83"/>
      <c r="B53" s="83"/>
      <c r="C53" s="133"/>
      <c r="D53" s="134"/>
      <c r="E53" s="83"/>
      <c r="F53" s="83"/>
      <c r="G53" s="95"/>
      <c r="H53" s="83"/>
      <c r="I53" s="95"/>
      <c r="K53" s="136"/>
      <c r="L53" s="95"/>
      <c r="M53" s="95"/>
      <c r="Q53" s="83"/>
    </row>
    <row r="54" spans="1:17" ht="15" x14ac:dyDescent="0.2">
      <c r="A54" s="83"/>
      <c r="B54" s="83"/>
      <c r="C54" s="133"/>
      <c r="D54" s="134"/>
      <c r="E54" s="83"/>
      <c r="F54" s="83"/>
      <c r="G54" s="95"/>
      <c r="H54" s="83"/>
      <c r="I54" s="95"/>
      <c r="K54" s="136"/>
      <c r="L54" s="95"/>
      <c r="M54" s="95"/>
      <c r="Q54" s="83"/>
    </row>
    <row r="55" spans="1:17" ht="15" x14ac:dyDescent="0.2">
      <c r="A55" s="83"/>
      <c r="B55" s="83"/>
      <c r="C55" s="133"/>
      <c r="D55" s="134"/>
      <c r="E55" s="83"/>
      <c r="F55" s="83"/>
      <c r="G55" s="95"/>
      <c r="H55" s="83"/>
      <c r="I55" s="95"/>
      <c r="K55" s="136"/>
      <c r="L55" s="95"/>
      <c r="M55" s="95"/>
      <c r="Q55" s="83"/>
    </row>
    <row r="56" spans="1:17" ht="15" x14ac:dyDescent="0.2">
      <c r="A56" s="83"/>
      <c r="B56" s="83"/>
      <c r="C56" s="133"/>
      <c r="D56" s="134"/>
      <c r="E56" s="83"/>
      <c r="F56" s="83"/>
      <c r="G56" s="95"/>
      <c r="H56" s="83"/>
      <c r="I56" s="95"/>
      <c r="K56" s="136"/>
      <c r="L56" s="95"/>
      <c r="M56" s="95"/>
      <c r="Q56" s="83"/>
    </row>
    <row r="57" spans="1:17" ht="15" x14ac:dyDescent="0.2">
      <c r="A57" s="83"/>
      <c r="B57" s="83"/>
      <c r="C57" s="133"/>
      <c r="D57" s="134"/>
      <c r="E57" s="83"/>
      <c r="F57" s="83"/>
      <c r="G57" s="95"/>
      <c r="H57" s="83"/>
      <c r="I57" s="95"/>
      <c r="K57" s="136"/>
      <c r="L57" s="95"/>
      <c r="M57" s="95"/>
      <c r="Q57" s="83"/>
    </row>
    <row r="58" spans="1:17" ht="15" x14ac:dyDescent="0.2">
      <c r="A58" s="83"/>
      <c r="B58" s="83"/>
      <c r="C58" s="133"/>
      <c r="D58" s="134"/>
      <c r="E58" s="83"/>
      <c r="F58" s="83"/>
      <c r="G58" s="95"/>
      <c r="H58" s="83"/>
      <c r="I58" s="95"/>
      <c r="K58" s="136"/>
      <c r="L58" s="95"/>
      <c r="M58" s="95"/>
      <c r="Q58" s="83"/>
    </row>
    <row r="59" spans="1:17" ht="15" x14ac:dyDescent="0.2">
      <c r="A59" s="83"/>
      <c r="B59" s="83"/>
      <c r="C59" s="133"/>
      <c r="D59" s="134"/>
      <c r="E59" s="83"/>
      <c r="F59" s="83"/>
      <c r="G59" s="95"/>
      <c r="H59" s="83"/>
      <c r="I59" s="95"/>
      <c r="K59" s="136"/>
      <c r="L59" s="95"/>
      <c r="M59" s="95"/>
      <c r="Q59" s="83"/>
    </row>
    <row r="60" spans="1:17" ht="15" x14ac:dyDescent="0.2">
      <c r="A60" s="83"/>
      <c r="B60" s="83"/>
      <c r="C60" s="133"/>
      <c r="D60" s="134"/>
      <c r="E60" s="83"/>
      <c r="F60" s="83"/>
      <c r="G60" s="95"/>
      <c r="H60" s="83"/>
      <c r="I60" s="95"/>
      <c r="K60" s="136"/>
      <c r="L60" s="95"/>
      <c r="M60" s="95"/>
      <c r="Q60" s="83"/>
    </row>
    <row r="61" spans="1:17" ht="15" x14ac:dyDescent="0.2">
      <c r="A61" s="83"/>
      <c r="B61" s="83"/>
      <c r="C61" s="133"/>
      <c r="D61" s="134"/>
      <c r="E61" s="83"/>
      <c r="F61" s="83"/>
      <c r="G61" s="95"/>
      <c r="H61" s="83"/>
      <c r="I61" s="95"/>
      <c r="K61" s="136"/>
      <c r="L61" s="95"/>
      <c r="M61" s="95"/>
      <c r="Q61" s="83"/>
    </row>
    <row r="62" spans="1:17" ht="15" x14ac:dyDescent="0.2">
      <c r="A62" s="83"/>
      <c r="B62" s="83"/>
      <c r="C62" s="133"/>
      <c r="D62" s="134"/>
      <c r="E62" s="83"/>
      <c r="F62" s="83"/>
      <c r="G62" s="95"/>
      <c r="H62" s="83"/>
      <c r="I62" s="95"/>
      <c r="K62" s="136"/>
      <c r="L62" s="95"/>
      <c r="M62" s="95"/>
      <c r="Q62" s="83"/>
    </row>
    <row r="63" spans="1:17" ht="15" x14ac:dyDescent="0.2">
      <c r="A63" s="83"/>
      <c r="B63" s="83"/>
      <c r="C63" s="133"/>
      <c r="D63" s="134"/>
      <c r="E63" s="83"/>
      <c r="F63" s="83"/>
      <c r="G63" s="95"/>
      <c r="H63" s="83"/>
      <c r="I63" s="95"/>
      <c r="K63" s="136"/>
      <c r="L63" s="95"/>
      <c r="M63" s="95"/>
      <c r="Q63" s="83"/>
    </row>
    <row r="64" spans="1:17" ht="15" x14ac:dyDescent="0.2">
      <c r="A64" s="83"/>
      <c r="B64" s="83"/>
      <c r="C64" s="133"/>
      <c r="D64" s="134"/>
      <c r="E64" s="83"/>
      <c r="F64" s="83"/>
      <c r="G64" s="95"/>
      <c r="H64" s="83"/>
      <c r="I64" s="95"/>
      <c r="K64" s="136"/>
      <c r="L64" s="95"/>
      <c r="M64" s="95"/>
      <c r="Q64" s="83"/>
    </row>
    <row r="65" spans="1:17" ht="15" x14ac:dyDescent="0.2">
      <c r="A65" s="83"/>
      <c r="B65" s="83"/>
      <c r="C65" s="133"/>
      <c r="D65" s="134"/>
      <c r="E65" s="83"/>
      <c r="F65" s="83"/>
      <c r="G65" s="95"/>
      <c r="H65" s="83"/>
      <c r="I65" s="95"/>
      <c r="K65" s="136"/>
      <c r="L65" s="95"/>
      <c r="M65" s="95"/>
      <c r="Q65" s="83"/>
    </row>
    <row r="66" spans="1:17" ht="15" x14ac:dyDescent="0.2">
      <c r="A66" s="83"/>
      <c r="B66" s="83"/>
      <c r="C66" s="133"/>
      <c r="D66" s="134"/>
      <c r="E66" s="83"/>
      <c r="F66" s="83"/>
      <c r="G66" s="95"/>
      <c r="H66" s="83"/>
      <c r="I66" s="95"/>
      <c r="K66" s="136"/>
      <c r="L66" s="95"/>
      <c r="M66" s="95"/>
      <c r="Q66" s="83"/>
    </row>
    <row r="67" spans="1:17" ht="15" x14ac:dyDescent="0.2">
      <c r="A67" s="83"/>
      <c r="B67" s="83"/>
      <c r="C67" s="133"/>
      <c r="D67" s="134"/>
      <c r="E67" s="83"/>
      <c r="F67" s="83"/>
      <c r="G67" s="95"/>
      <c r="H67" s="83"/>
      <c r="I67" s="95"/>
      <c r="K67" s="136"/>
      <c r="L67" s="95"/>
      <c r="M67" s="95"/>
      <c r="Q67" s="83"/>
    </row>
    <row r="68" spans="1:17" ht="15" x14ac:dyDescent="0.2">
      <c r="A68" s="83"/>
      <c r="B68" s="83"/>
      <c r="C68" s="133"/>
      <c r="D68" s="134"/>
      <c r="E68" s="83"/>
      <c r="F68" s="83"/>
      <c r="G68" s="95"/>
      <c r="H68" s="83"/>
      <c r="I68" s="95"/>
      <c r="K68" s="136"/>
      <c r="L68" s="95"/>
      <c r="M68" s="95"/>
      <c r="Q68" s="83"/>
    </row>
    <row r="69" spans="1:17" ht="15" x14ac:dyDescent="0.2">
      <c r="A69" s="83"/>
      <c r="B69" s="83"/>
      <c r="C69" s="133"/>
      <c r="D69" s="134"/>
      <c r="E69" s="83"/>
      <c r="F69" s="83"/>
      <c r="G69" s="95"/>
      <c r="H69" s="83"/>
      <c r="I69" s="95"/>
      <c r="K69" s="136"/>
      <c r="L69" s="95"/>
      <c r="M69" s="95"/>
      <c r="Q69" s="83"/>
    </row>
    <row r="70" spans="1:17" ht="15" x14ac:dyDescent="0.2">
      <c r="A70" s="83"/>
      <c r="B70" s="83"/>
      <c r="C70" s="133"/>
      <c r="D70" s="134"/>
      <c r="E70" s="83"/>
      <c r="F70" s="83"/>
      <c r="G70" s="95"/>
      <c r="H70" s="83"/>
      <c r="I70" s="95"/>
      <c r="K70" s="136"/>
      <c r="L70" s="95"/>
      <c r="M70" s="95"/>
      <c r="Q70" s="83"/>
    </row>
    <row r="71" spans="1:17" ht="15" x14ac:dyDescent="0.2">
      <c r="A71" s="83"/>
      <c r="B71" s="83"/>
      <c r="C71" s="133"/>
      <c r="D71" s="134"/>
      <c r="E71" s="83"/>
      <c r="F71" s="83"/>
      <c r="G71" s="95"/>
      <c r="H71" s="83"/>
      <c r="I71" s="95"/>
      <c r="K71" s="136"/>
      <c r="L71" s="95"/>
      <c r="M71" s="95"/>
      <c r="Q71" s="83"/>
    </row>
    <row r="72" spans="1:17" ht="15" x14ac:dyDescent="0.2">
      <c r="A72" s="83"/>
      <c r="B72" s="83"/>
      <c r="C72" s="133"/>
      <c r="D72" s="134"/>
      <c r="E72" s="83"/>
      <c r="F72" s="83"/>
      <c r="G72" s="95"/>
      <c r="H72" s="83"/>
      <c r="I72" s="95"/>
      <c r="K72" s="136"/>
      <c r="L72" s="95"/>
      <c r="M72" s="95"/>
      <c r="Q72" s="83"/>
    </row>
    <row r="73" spans="1:17" ht="15" x14ac:dyDescent="0.2">
      <c r="A73" s="83"/>
      <c r="B73" s="83"/>
      <c r="C73" s="133"/>
      <c r="D73" s="134"/>
      <c r="E73" s="83"/>
      <c r="F73" s="83"/>
      <c r="G73" s="95"/>
      <c r="H73" s="83"/>
      <c r="I73" s="95"/>
      <c r="K73" s="136"/>
      <c r="L73" s="95"/>
      <c r="M73" s="95"/>
      <c r="Q73" s="83"/>
    </row>
    <row r="74" spans="1:17" ht="15" x14ac:dyDescent="0.2">
      <c r="A74" s="83"/>
      <c r="B74" s="83"/>
      <c r="C74" s="133"/>
      <c r="D74" s="134"/>
      <c r="E74" s="83"/>
      <c r="F74" s="83"/>
      <c r="G74" s="95"/>
      <c r="H74" s="83"/>
      <c r="I74" s="95"/>
      <c r="K74" s="136"/>
      <c r="L74" s="95"/>
      <c r="M74" s="95"/>
      <c r="Q74" s="83"/>
    </row>
    <row r="75" spans="1:17" ht="15" x14ac:dyDescent="0.2">
      <c r="A75" s="83"/>
      <c r="B75" s="83"/>
      <c r="C75" s="133"/>
      <c r="D75" s="134"/>
      <c r="E75" s="83"/>
      <c r="F75" s="83"/>
      <c r="G75" s="95"/>
      <c r="H75" s="83"/>
      <c r="I75" s="95"/>
      <c r="K75" s="136"/>
      <c r="L75" s="95"/>
      <c r="M75" s="95"/>
      <c r="Q75" s="83"/>
    </row>
    <row r="76" spans="1:17" ht="15" x14ac:dyDescent="0.2">
      <c r="A76" s="83"/>
      <c r="B76" s="83"/>
      <c r="C76" s="133"/>
      <c r="D76" s="134"/>
      <c r="E76" s="83"/>
      <c r="F76" s="83"/>
      <c r="G76" s="95"/>
      <c r="H76" s="83"/>
      <c r="I76" s="95"/>
      <c r="K76" s="136"/>
      <c r="L76" s="95"/>
      <c r="M76" s="95"/>
      <c r="Q76" s="83"/>
    </row>
    <row r="77" spans="1:17" ht="15" x14ac:dyDescent="0.2">
      <c r="A77" s="83"/>
      <c r="B77" s="83"/>
      <c r="C77" s="133"/>
      <c r="D77" s="134"/>
      <c r="E77" s="83"/>
      <c r="F77" s="83"/>
      <c r="G77" s="95"/>
      <c r="H77" s="83"/>
      <c r="I77" s="95"/>
      <c r="K77" s="136"/>
      <c r="L77" s="95"/>
      <c r="M77" s="95"/>
      <c r="Q77" s="83"/>
    </row>
    <row r="78" spans="1:17" ht="15" x14ac:dyDescent="0.2">
      <c r="A78" s="83"/>
      <c r="B78" s="83"/>
      <c r="C78" s="133"/>
      <c r="D78" s="134"/>
      <c r="E78" s="83"/>
      <c r="F78" s="83"/>
      <c r="G78" s="95"/>
      <c r="H78" s="83"/>
      <c r="I78" s="95"/>
      <c r="K78" s="136"/>
      <c r="L78" s="95"/>
      <c r="M78" s="95"/>
      <c r="Q78" s="83"/>
    </row>
    <row r="79" spans="1:17" ht="15" x14ac:dyDescent="0.2">
      <c r="A79" s="83"/>
      <c r="B79" s="83"/>
      <c r="C79" s="133"/>
      <c r="D79" s="134"/>
      <c r="E79" s="83"/>
      <c r="F79" s="83"/>
      <c r="G79" s="95"/>
      <c r="H79" s="83"/>
      <c r="I79" s="95"/>
      <c r="K79" s="136"/>
      <c r="L79" s="95"/>
      <c r="M79" s="95"/>
      <c r="Q79" s="83"/>
    </row>
    <row r="80" spans="1:17" ht="15" x14ac:dyDescent="0.2">
      <c r="A80" s="83"/>
      <c r="B80" s="83"/>
      <c r="C80" s="133"/>
      <c r="D80" s="134"/>
      <c r="E80" s="83"/>
      <c r="F80" s="83"/>
      <c r="G80" s="95"/>
      <c r="H80" s="83"/>
      <c r="I80" s="95"/>
      <c r="K80" s="136"/>
      <c r="L80" s="95"/>
      <c r="M80" s="95"/>
      <c r="Q80" s="83"/>
    </row>
    <row r="81" spans="1:17" ht="15" x14ac:dyDescent="0.2">
      <c r="A81" s="83"/>
      <c r="B81" s="83"/>
      <c r="C81" s="133"/>
      <c r="D81" s="134"/>
      <c r="E81" s="83"/>
      <c r="F81" s="83"/>
      <c r="G81" s="95"/>
      <c r="H81" s="83"/>
      <c r="I81" s="95"/>
      <c r="K81" s="136"/>
      <c r="L81" s="95"/>
      <c r="M81" s="95"/>
      <c r="Q81" s="83"/>
    </row>
    <row r="82" spans="1:17" ht="15" x14ac:dyDescent="0.2">
      <c r="A82" s="83"/>
      <c r="B82" s="83"/>
      <c r="C82" s="133"/>
      <c r="D82" s="134"/>
      <c r="E82" s="83"/>
      <c r="F82" s="83"/>
      <c r="G82" s="95"/>
      <c r="H82" s="83"/>
      <c r="I82" s="95"/>
      <c r="K82" s="136"/>
      <c r="L82" s="95"/>
      <c r="M82" s="95"/>
      <c r="Q82" s="83"/>
    </row>
    <row r="83" spans="1:17" ht="15" x14ac:dyDescent="0.2">
      <c r="A83" s="83"/>
      <c r="B83" s="83"/>
      <c r="C83" s="133"/>
      <c r="D83" s="134"/>
      <c r="E83" s="83"/>
      <c r="F83" s="83"/>
      <c r="G83" s="95"/>
      <c r="H83" s="83"/>
      <c r="I83" s="95"/>
      <c r="K83" s="136"/>
      <c r="L83" s="95"/>
      <c r="M83" s="95"/>
      <c r="Q83" s="83"/>
    </row>
    <row r="84" spans="1:17" ht="15" x14ac:dyDescent="0.2">
      <c r="A84" s="83"/>
      <c r="B84" s="83"/>
      <c r="C84" s="133"/>
      <c r="D84" s="134"/>
      <c r="E84" s="83"/>
      <c r="F84" s="83"/>
      <c r="G84" s="95"/>
      <c r="H84" s="83"/>
      <c r="I84" s="95"/>
      <c r="K84" s="136"/>
      <c r="L84" s="95"/>
      <c r="M84" s="95"/>
      <c r="Q84" s="83"/>
    </row>
    <row r="85" spans="1:17" ht="15" x14ac:dyDescent="0.2">
      <c r="A85" s="83"/>
      <c r="B85" s="83"/>
      <c r="C85" s="133"/>
      <c r="D85" s="134"/>
      <c r="E85" s="83"/>
      <c r="F85" s="83"/>
      <c r="G85" s="95"/>
      <c r="H85" s="83"/>
      <c r="I85" s="95"/>
      <c r="K85" s="136"/>
      <c r="L85" s="95"/>
      <c r="M85" s="95"/>
      <c r="Q85" s="83"/>
    </row>
    <row r="86" spans="1:17" ht="15" x14ac:dyDescent="0.2">
      <c r="A86" s="83"/>
      <c r="B86" s="83"/>
      <c r="C86" s="133"/>
      <c r="D86" s="134"/>
      <c r="E86" s="83"/>
      <c r="F86" s="83"/>
      <c r="G86" s="95"/>
      <c r="H86" s="83"/>
      <c r="I86" s="95"/>
      <c r="K86" s="136"/>
      <c r="L86" s="95"/>
      <c r="M86" s="95"/>
      <c r="Q86" s="83"/>
    </row>
    <row r="87" spans="1:17" ht="15" x14ac:dyDescent="0.2">
      <c r="A87" s="83"/>
      <c r="B87" s="83"/>
      <c r="C87" s="133"/>
      <c r="D87" s="134"/>
      <c r="E87" s="83"/>
      <c r="F87" s="83"/>
      <c r="G87" s="95"/>
      <c r="H87" s="83"/>
      <c r="I87" s="95"/>
      <c r="K87" s="136"/>
      <c r="L87" s="95"/>
      <c r="M87" s="95"/>
      <c r="Q87" s="83"/>
    </row>
    <row r="88" spans="1:17" ht="15" x14ac:dyDescent="0.2">
      <c r="A88" s="83"/>
      <c r="B88" s="83"/>
      <c r="C88" s="133"/>
      <c r="D88" s="134"/>
      <c r="E88" s="83"/>
      <c r="F88" s="83"/>
      <c r="G88" s="95"/>
      <c r="H88" s="83"/>
      <c r="I88" s="95"/>
      <c r="K88" s="136"/>
      <c r="L88" s="95"/>
      <c r="M88" s="95"/>
      <c r="Q88" s="83"/>
    </row>
    <row r="89" spans="1:17" ht="15" x14ac:dyDescent="0.2">
      <c r="A89" s="83"/>
      <c r="B89" s="83"/>
      <c r="C89" s="133"/>
      <c r="D89" s="134"/>
      <c r="E89" s="83"/>
      <c r="F89" s="83"/>
      <c r="G89" s="135"/>
      <c r="H89" s="83"/>
      <c r="I89" s="135"/>
      <c r="K89" s="137"/>
      <c r="L89" s="135"/>
      <c r="M89" s="135"/>
      <c r="Q89" s="83"/>
    </row>
    <row r="90" spans="1:17" ht="15" x14ac:dyDescent="0.2">
      <c r="A90" s="83"/>
      <c r="B90" s="83"/>
      <c r="C90" s="133"/>
      <c r="D90" s="134"/>
      <c r="E90" s="83"/>
      <c r="F90" s="83"/>
      <c r="G90" s="135"/>
      <c r="H90" s="83"/>
      <c r="I90" s="135"/>
      <c r="K90" s="137"/>
      <c r="L90" s="135"/>
      <c r="M90" s="135"/>
      <c r="Q90" s="83"/>
    </row>
    <row r="91" spans="1:17" ht="15" x14ac:dyDescent="0.2">
      <c r="A91" s="83"/>
      <c r="B91" s="83"/>
      <c r="C91" s="133"/>
      <c r="D91" s="134"/>
      <c r="E91" s="83"/>
      <c r="F91" s="83"/>
      <c r="G91" s="135"/>
      <c r="H91" s="83"/>
      <c r="I91" s="135"/>
      <c r="J91" s="83"/>
      <c r="K91" s="137"/>
      <c r="L91" s="135"/>
      <c r="M91" s="135"/>
      <c r="N91" s="83"/>
      <c r="O91" s="83"/>
      <c r="P91" s="83"/>
      <c r="Q91" s="83"/>
    </row>
    <row r="92" spans="1:17" ht="15" x14ac:dyDescent="0.2">
      <c r="A92" s="83"/>
      <c r="B92" s="83"/>
      <c r="C92" s="133"/>
      <c r="D92" s="134"/>
      <c r="E92" s="83"/>
      <c r="F92" s="83"/>
      <c r="G92" s="135"/>
      <c r="H92" s="83"/>
      <c r="I92" s="135"/>
      <c r="J92" s="83"/>
      <c r="K92" s="137"/>
      <c r="L92" s="135"/>
      <c r="M92" s="135"/>
      <c r="N92" s="83"/>
      <c r="O92" s="83"/>
      <c r="P92" s="83"/>
      <c r="Q92" s="83"/>
    </row>
    <row r="93" spans="1:17" ht="15" x14ac:dyDescent="0.2">
      <c r="A93" s="83"/>
      <c r="B93" s="83"/>
      <c r="C93" s="133"/>
      <c r="D93" s="134"/>
      <c r="E93" s="83"/>
      <c r="F93" s="83"/>
      <c r="G93" s="135"/>
      <c r="H93" s="83"/>
      <c r="I93" s="135"/>
      <c r="J93" s="83"/>
      <c r="K93" s="137"/>
      <c r="L93" s="135"/>
      <c r="M93" s="135"/>
      <c r="N93" s="83"/>
      <c r="O93" s="83"/>
      <c r="P93" s="83"/>
      <c r="Q93" s="83"/>
    </row>
    <row r="94" spans="1:17" ht="15" x14ac:dyDescent="0.2">
      <c r="A94" s="83"/>
      <c r="B94" s="83"/>
      <c r="C94" s="133"/>
      <c r="D94" s="134"/>
      <c r="E94" s="83"/>
      <c r="F94" s="83"/>
      <c r="G94" s="135"/>
      <c r="H94" s="83"/>
      <c r="I94" s="135"/>
      <c r="J94" s="83"/>
      <c r="K94" s="137"/>
      <c r="L94" s="135"/>
      <c r="M94" s="135"/>
      <c r="N94" s="83"/>
      <c r="O94" s="83"/>
      <c r="P94" s="83"/>
      <c r="Q94" s="83"/>
    </row>
    <row r="95" spans="1:17" ht="15" x14ac:dyDescent="0.2">
      <c r="A95" s="83"/>
      <c r="B95" s="83"/>
      <c r="C95" s="133"/>
      <c r="D95" s="134"/>
      <c r="E95" s="83"/>
      <c r="F95" s="83"/>
      <c r="G95" s="135"/>
      <c r="H95" s="83"/>
      <c r="I95" s="135"/>
      <c r="J95" s="83"/>
      <c r="K95" s="137"/>
      <c r="L95" s="135"/>
      <c r="M95" s="135"/>
      <c r="N95" s="83"/>
      <c r="O95" s="83"/>
      <c r="P95" s="83"/>
      <c r="Q95" s="83"/>
    </row>
    <row r="96" spans="1:17" ht="15" x14ac:dyDescent="0.2">
      <c r="A96" s="83"/>
      <c r="B96" s="83"/>
      <c r="C96" s="133"/>
      <c r="D96" s="134"/>
      <c r="E96" s="83"/>
      <c r="F96" s="83"/>
      <c r="G96" s="135"/>
      <c r="H96" s="83"/>
      <c r="I96" s="135"/>
      <c r="J96" s="83"/>
      <c r="K96" s="137"/>
      <c r="L96" s="135"/>
      <c r="M96" s="135"/>
      <c r="N96" s="83"/>
      <c r="O96" s="83"/>
      <c r="P96" s="83"/>
      <c r="Q96" s="83"/>
    </row>
    <row r="97" spans="1:17" ht="15" x14ac:dyDescent="0.2">
      <c r="A97" s="83"/>
      <c r="B97" s="83"/>
      <c r="C97" s="133"/>
      <c r="D97" s="134"/>
      <c r="E97" s="83"/>
      <c r="F97" s="83"/>
      <c r="G97" s="135"/>
      <c r="H97" s="83"/>
      <c r="I97" s="135"/>
      <c r="J97" s="83"/>
      <c r="K97" s="137"/>
      <c r="L97" s="135"/>
      <c r="M97" s="135"/>
      <c r="N97" s="83"/>
      <c r="O97" s="83"/>
      <c r="P97" s="83"/>
      <c r="Q97" s="83"/>
    </row>
    <row r="98" spans="1:17" ht="15" x14ac:dyDescent="0.2">
      <c r="A98" s="83"/>
      <c r="B98" s="83"/>
      <c r="C98" s="133"/>
      <c r="D98" s="134"/>
      <c r="E98" s="83"/>
      <c r="F98" s="83"/>
      <c r="G98" s="135"/>
      <c r="H98" s="83"/>
      <c r="I98" s="135"/>
      <c r="J98" s="83"/>
      <c r="K98" s="137"/>
      <c r="L98" s="135"/>
      <c r="M98" s="135"/>
      <c r="N98" s="83"/>
      <c r="O98" s="83"/>
      <c r="P98" s="83"/>
      <c r="Q98" s="83"/>
    </row>
    <row r="99" spans="1:17" ht="15" x14ac:dyDescent="0.2">
      <c r="A99" s="83"/>
      <c r="B99" s="83"/>
      <c r="C99" s="133"/>
      <c r="D99" s="134"/>
      <c r="E99" s="83"/>
      <c r="F99" s="83"/>
      <c r="G99" s="135"/>
      <c r="H99" s="83"/>
      <c r="I99" s="135"/>
      <c r="J99" s="83"/>
      <c r="K99" s="137"/>
      <c r="L99" s="135"/>
      <c r="M99" s="135"/>
      <c r="N99" s="83"/>
      <c r="O99" s="83"/>
      <c r="P99" s="83"/>
      <c r="Q99" s="83"/>
    </row>
    <row r="100" spans="1:17" ht="15" x14ac:dyDescent="0.2">
      <c r="A100" s="83"/>
      <c r="B100" s="83"/>
      <c r="C100" s="133"/>
      <c r="D100" s="134"/>
      <c r="E100" s="83"/>
      <c r="F100" s="83"/>
      <c r="G100" s="135"/>
      <c r="H100" s="83"/>
      <c r="I100" s="135"/>
      <c r="J100" s="83"/>
      <c r="K100" s="137"/>
      <c r="L100" s="135"/>
      <c r="M100" s="135"/>
      <c r="N100" s="83"/>
      <c r="O100" s="83"/>
      <c r="P100" s="83"/>
      <c r="Q100" s="83"/>
    </row>
    <row r="101" spans="1:17" ht="15" x14ac:dyDescent="0.2">
      <c r="A101" s="83"/>
      <c r="B101" s="83"/>
      <c r="C101" s="133"/>
      <c r="D101" s="134"/>
      <c r="E101" s="83"/>
      <c r="F101" s="83"/>
      <c r="G101" s="135"/>
      <c r="H101" s="83"/>
      <c r="I101" s="135"/>
      <c r="J101" s="83"/>
      <c r="K101" s="137"/>
      <c r="L101" s="135"/>
      <c r="M101" s="135"/>
      <c r="N101" s="83"/>
      <c r="O101" s="83"/>
      <c r="P101" s="83"/>
      <c r="Q101" s="83"/>
    </row>
    <row r="102" spans="1:17" ht="15" x14ac:dyDescent="0.2">
      <c r="A102" s="83"/>
      <c r="B102" s="83"/>
      <c r="C102" s="133"/>
      <c r="D102" s="134"/>
      <c r="E102" s="83"/>
      <c r="F102" s="83"/>
      <c r="G102" s="135"/>
      <c r="H102" s="83"/>
      <c r="I102" s="135"/>
      <c r="J102" s="83"/>
      <c r="K102" s="137"/>
      <c r="L102" s="135"/>
      <c r="M102" s="135"/>
      <c r="N102" s="83"/>
      <c r="O102" s="83"/>
      <c r="P102" s="83"/>
      <c r="Q102" s="83"/>
    </row>
    <row r="103" spans="1:17" ht="15" x14ac:dyDescent="0.2">
      <c r="A103" s="83"/>
      <c r="B103" s="83"/>
      <c r="C103" s="133"/>
      <c r="D103" s="134"/>
      <c r="E103" s="83"/>
      <c r="F103" s="83"/>
      <c r="G103" s="135"/>
      <c r="H103" s="83"/>
      <c r="I103" s="135"/>
      <c r="J103" s="83"/>
      <c r="K103" s="137"/>
      <c r="L103" s="135"/>
      <c r="M103" s="135"/>
      <c r="N103" s="83"/>
      <c r="O103" s="83"/>
      <c r="P103" s="83"/>
      <c r="Q103" s="83"/>
    </row>
    <row r="104" spans="1:17" ht="15" x14ac:dyDescent="0.2">
      <c r="A104" s="83"/>
      <c r="B104" s="83"/>
      <c r="C104" s="133"/>
      <c r="D104" s="134"/>
      <c r="E104" s="83"/>
      <c r="F104" s="83"/>
      <c r="G104" s="135"/>
      <c r="H104" s="83"/>
      <c r="I104" s="135"/>
      <c r="J104" s="83"/>
      <c r="K104" s="137"/>
      <c r="L104" s="135"/>
      <c r="M104" s="135"/>
      <c r="N104" s="83"/>
      <c r="O104" s="83"/>
      <c r="P104" s="83"/>
      <c r="Q104" s="83"/>
    </row>
    <row r="105" spans="1:17" ht="15" x14ac:dyDescent="0.2">
      <c r="A105" s="83"/>
      <c r="B105" s="83"/>
      <c r="C105" s="133"/>
      <c r="D105" s="134"/>
      <c r="E105" s="83"/>
      <c r="F105" s="83"/>
      <c r="G105" s="135"/>
      <c r="H105" s="83"/>
      <c r="I105" s="135"/>
      <c r="J105" s="83"/>
      <c r="K105" s="137"/>
      <c r="L105" s="135"/>
      <c r="M105" s="135"/>
      <c r="N105" s="83"/>
      <c r="O105" s="83"/>
      <c r="P105" s="83"/>
      <c r="Q105" s="83"/>
    </row>
    <row r="106" spans="1:17" ht="15" x14ac:dyDescent="0.2">
      <c r="A106" s="83"/>
      <c r="B106" s="83"/>
      <c r="C106" s="133"/>
      <c r="D106" s="134"/>
      <c r="E106" s="83"/>
      <c r="F106" s="83"/>
      <c r="G106" s="135"/>
      <c r="H106" s="83"/>
      <c r="I106" s="135"/>
      <c r="J106" s="83"/>
      <c r="K106" s="137"/>
      <c r="L106" s="135"/>
      <c r="M106" s="135"/>
      <c r="N106" s="83"/>
      <c r="O106" s="83"/>
      <c r="P106" s="83"/>
      <c r="Q106" s="83"/>
    </row>
    <row r="107" spans="1:17" ht="15" x14ac:dyDescent="0.2">
      <c r="A107" s="83"/>
      <c r="B107" s="83"/>
      <c r="C107" s="133"/>
      <c r="D107" s="134"/>
      <c r="E107" s="83"/>
      <c r="F107" s="83"/>
      <c r="G107" s="135"/>
      <c r="H107" s="83"/>
      <c r="I107" s="135"/>
      <c r="J107" s="83"/>
      <c r="K107" s="137"/>
      <c r="L107" s="135"/>
      <c r="M107" s="135"/>
      <c r="N107" s="83"/>
      <c r="O107" s="83"/>
      <c r="P107" s="83"/>
      <c r="Q107" s="83"/>
    </row>
    <row r="108" spans="1:17" ht="15" x14ac:dyDescent="0.2">
      <c r="A108" s="83"/>
      <c r="B108" s="83"/>
      <c r="C108" s="133"/>
      <c r="D108" s="134"/>
      <c r="E108" s="83"/>
      <c r="F108" s="83"/>
      <c r="G108" s="135"/>
      <c r="H108" s="83"/>
      <c r="I108" s="135"/>
      <c r="J108" s="83"/>
      <c r="K108" s="137"/>
      <c r="L108" s="135"/>
      <c r="M108" s="135"/>
      <c r="N108" s="83"/>
      <c r="O108" s="83"/>
      <c r="P108" s="83"/>
      <c r="Q108" s="83"/>
    </row>
    <row r="109" spans="1:17" ht="15" x14ac:dyDescent="0.2">
      <c r="A109" s="83"/>
      <c r="B109" s="83"/>
      <c r="C109" s="133"/>
      <c r="D109" s="134"/>
      <c r="E109" s="83"/>
      <c r="F109" s="83"/>
      <c r="G109" s="135"/>
      <c r="H109" s="83"/>
      <c r="I109" s="135"/>
      <c r="J109" s="83"/>
      <c r="K109" s="137"/>
      <c r="L109" s="135"/>
      <c r="M109" s="135"/>
      <c r="N109" s="83"/>
      <c r="O109" s="83"/>
      <c r="P109" s="83"/>
      <c r="Q109" s="83"/>
    </row>
    <row r="110" spans="1:17" ht="15" x14ac:dyDescent="0.2">
      <c r="A110" s="83"/>
      <c r="B110" s="83"/>
      <c r="C110" s="133"/>
      <c r="D110" s="134"/>
      <c r="E110" s="83"/>
      <c r="F110" s="83"/>
      <c r="G110" s="135"/>
      <c r="H110" s="83"/>
      <c r="I110" s="135"/>
      <c r="J110" s="83"/>
      <c r="K110" s="137"/>
      <c r="L110" s="135"/>
      <c r="M110" s="135"/>
      <c r="N110" s="83"/>
      <c r="O110" s="83"/>
      <c r="P110" s="83"/>
      <c r="Q110" s="83"/>
    </row>
    <row r="111" spans="1:17" ht="15" x14ac:dyDescent="0.2">
      <c r="A111" s="83"/>
      <c r="B111" s="83"/>
      <c r="C111" s="133"/>
      <c r="D111" s="134"/>
      <c r="E111" s="83"/>
      <c r="F111" s="83"/>
      <c r="G111" s="135"/>
      <c r="H111" s="83"/>
      <c r="I111" s="135"/>
      <c r="J111" s="83"/>
      <c r="K111" s="137"/>
      <c r="L111" s="135"/>
      <c r="M111" s="135"/>
      <c r="N111" s="83"/>
      <c r="O111" s="83"/>
      <c r="P111" s="83"/>
      <c r="Q111" s="83"/>
    </row>
    <row r="112" spans="1:17" ht="15" x14ac:dyDescent="0.2">
      <c r="A112" s="83"/>
      <c r="B112" s="83"/>
      <c r="C112" s="133"/>
      <c r="D112" s="134"/>
      <c r="E112" s="83"/>
      <c r="F112" s="83"/>
      <c r="G112" s="135"/>
      <c r="H112" s="83"/>
      <c r="I112" s="135"/>
      <c r="J112" s="83"/>
      <c r="K112" s="137"/>
      <c r="L112" s="135"/>
      <c r="M112" s="135"/>
      <c r="N112" s="83"/>
      <c r="O112" s="83"/>
      <c r="P112" s="83"/>
      <c r="Q112" s="83"/>
    </row>
    <row r="113" spans="1:17" ht="15" x14ac:dyDescent="0.2">
      <c r="A113" s="83"/>
      <c r="B113" s="83"/>
      <c r="C113" s="133"/>
      <c r="D113" s="134"/>
      <c r="E113" s="83"/>
      <c r="F113" s="83"/>
      <c r="G113" s="135"/>
      <c r="H113" s="83"/>
      <c r="I113" s="135"/>
      <c r="J113" s="83"/>
      <c r="K113" s="137"/>
      <c r="L113" s="135"/>
      <c r="M113" s="135"/>
      <c r="N113" s="83"/>
      <c r="O113" s="83"/>
      <c r="P113" s="83"/>
      <c r="Q113" s="83"/>
    </row>
    <row r="114" spans="1:17" ht="15" x14ac:dyDescent="0.2">
      <c r="A114" s="83"/>
      <c r="B114" s="83"/>
      <c r="C114" s="133"/>
      <c r="D114" s="134"/>
      <c r="E114" s="83"/>
      <c r="F114" s="83"/>
      <c r="G114" s="135"/>
      <c r="H114" s="83"/>
      <c r="I114" s="135"/>
      <c r="J114" s="83"/>
      <c r="K114" s="137"/>
      <c r="L114" s="135"/>
      <c r="M114" s="135"/>
      <c r="N114" s="83"/>
      <c r="O114" s="83"/>
      <c r="P114" s="83"/>
      <c r="Q114" s="83"/>
    </row>
    <row r="115" spans="1:17" ht="15" x14ac:dyDescent="0.2">
      <c r="A115" s="83"/>
      <c r="B115" s="83"/>
      <c r="C115" s="133"/>
      <c r="D115" s="134"/>
      <c r="E115" s="83"/>
      <c r="F115" s="83"/>
      <c r="G115" s="135"/>
      <c r="H115" s="83"/>
      <c r="I115" s="135"/>
      <c r="J115" s="83"/>
      <c r="K115" s="137"/>
      <c r="L115" s="135"/>
      <c r="M115" s="135"/>
      <c r="N115" s="83"/>
      <c r="O115" s="83"/>
      <c r="P115" s="83"/>
      <c r="Q115" s="83"/>
    </row>
    <row r="116" spans="1:17" ht="15" x14ac:dyDescent="0.2">
      <c r="A116" s="83"/>
      <c r="B116" s="83"/>
      <c r="C116" s="133"/>
      <c r="D116" s="134"/>
      <c r="E116" s="83"/>
      <c r="F116" s="83"/>
      <c r="G116" s="135"/>
      <c r="H116" s="83"/>
      <c r="I116" s="135"/>
      <c r="J116" s="83"/>
      <c r="K116" s="137"/>
      <c r="L116" s="135"/>
      <c r="M116" s="135"/>
      <c r="N116" s="83"/>
      <c r="O116" s="83"/>
      <c r="P116" s="83"/>
      <c r="Q116" s="83"/>
    </row>
    <row r="117" spans="1:17" ht="15" x14ac:dyDescent="0.2">
      <c r="A117" s="83"/>
      <c r="B117" s="83"/>
      <c r="C117" s="133"/>
      <c r="D117" s="134"/>
      <c r="E117" s="83"/>
      <c r="F117" s="83"/>
      <c r="G117" s="135"/>
      <c r="H117" s="83"/>
      <c r="I117" s="135"/>
      <c r="J117" s="83"/>
      <c r="K117" s="137"/>
      <c r="L117" s="135"/>
      <c r="M117" s="135"/>
      <c r="N117" s="83"/>
      <c r="O117" s="83"/>
      <c r="P117" s="83"/>
      <c r="Q117" s="83"/>
    </row>
    <row r="118" spans="1:17" ht="15" x14ac:dyDescent="0.2">
      <c r="A118" s="83"/>
      <c r="B118" s="83"/>
      <c r="C118" s="133"/>
      <c r="D118" s="134"/>
      <c r="E118" s="83"/>
      <c r="F118" s="83"/>
      <c r="G118" s="135"/>
      <c r="H118" s="83"/>
      <c r="I118" s="135"/>
      <c r="J118" s="83"/>
      <c r="K118" s="137"/>
      <c r="L118" s="135"/>
      <c r="M118" s="135"/>
      <c r="N118" s="83"/>
      <c r="O118" s="83"/>
      <c r="P118" s="83"/>
      <c r="Q118" s="83"/>
    </row>
    <row r="119" spans="1:17" ht="15" x14ac:dyDescent="0.2">
      <c r="A119" s="83"/>
      <c r="B119" s="83"/>
      <c r="C119" s="133"/>
      <c r="D119" s="134"/>
      <c r="E119" s="83"/>
      <c r="F119" s="83"/>
      <c r="G119" s="135"/>
      <c r="H119" s="83"/>
      <c r="I119" s="135"/>
      <c r="J119" s="83"/>
      <c r="K119" s="137"/>
      <c r="L119" s="135"/>
      <c r="M119" s="135"/>
      <c r="N119" s="83"/>
      <c r="O119" s="83"/>
      <c r="P119" s="83"/>
      <c r="Q119" s="83"/>
    </row>
    <row r="120" spans="1:17" ht="15" x14ac:dyDescent="0.2">
      <c r="A120" s="83"/>
      <c r="B120" s="83"/>
      <c r="C120" s="133"/>
      <c r="D120" s="134"/>
      <c r="E120" s="83"/>
      <c r="F120" s="83"/>
      <c r="G120" s="135"/>
      <c r="H120" s="83"/>
      <c r="I120" s="135"/>
      <c r="J120" s="83"/>
      <c r="K120" s="137"/>
      <c r="L120" s="135"/>
      <c r="M120" s="135"/>
      <c r="N120" s="83"/>
      <c r="O120" s="83"/>
      <c r="P120" s="83"/>
      <c r="Q120" s="83"/>
    </row>
    <row r="121" spans="1:17" ht="15" x14ac:dyDescent="0.2">
      <c r="A121" s="83"/>
      <c r="B121" s="83"/>
      <c r="C121" s="133"/>
      <c r="D121" s="134"/>
      <c r="E121" s="83"/>
      <c r="F121" s="83"/>
      <c r="G121" s="135"/>
      <c r="H121" s="83"/>
      <c r="I121" s="135"/>
      <c r="J121" s="83"/>
      <c r="K121" s="137"/>
      <c r="L121" s="135"/>
      <c r="M121" s="135"/>
      <c r="N121" s="83"/>
      <c r="O121" s="83"/>
      <c r="P121" s="83"/>
      <c r="Q121" s="83"/>
    </row>
    <row r="122" spans="1:17" ht="15" x14ac:dyDescent="0.2">
      <c r="A122" s="83"/>
      <c r="B122" s="83"/>
      <c r="C122" s="133"/>
      <c r="D122" s="134"/>
      <c r="E122" s="83"/>
      <c r="F122" s="83"/>
      <c r="G122" s="135"/>
      <c r="H122" s="83"/>
      <c r="I122" s="135"/>
      <c r="J122" s="83"/>
      <c r="K122" s="137"/>
      <c r="L122" s="135"/>
      <c r="M122" s="135"/>
      <c r="N122" s="83"/>
      <c r="O122" s="83"/>
      <c r="P122" s="83"/>
      <c r="Q122" s="83"/>
    </row>
    <row r="123" spans="1:17" ht="15" x14ac:dyDescent="0.2">
      <c r="A123" s="83"/>
      <c r="B123" s="83"/>
      <c r="C123" s="133"/>
      <c r="D123" s="134"/>
      <c r="E123" s="83"/>
      <c r="F123" s="83"/>
      <c r="G123" s="135"/>
      <c r="H123" s="83"/>
      <c r="I123" s="135"/>
      <c r="J123" s="83"/>
      <c r="K123" s="137"/>
      <c r="L123" s="135"/>
      <c r="M123" s="135"/>
      <c r="N123" s="83"/>
      <c r="O123" s="83"/>
      <c r="P123" s="83"/>
      <c r="Q123" s="83"/>
    </row>
    <row r="124" spans="1:17" ht="15" x14ac:dyDescent="0.2">
      <c r="A124" s="83"/>
      <c r="B124" s="83"/>
      <c r="C124" s="133"/>
      <c r="D124" s="134"/>
      <c r="E124" s="83"/>
      <c r="F124" s="83"/>
      <c r="G124" s="135"/>
      <c r="H124" s="83"/>
      <c r="I124" s="135"/>
      <c r="J124" s="83"/>
      <c r="K124" s="137"/>
      <c r="L124" s="135"/>
      <c r="M124" s="135"/>
      <c r="N124" s="83"/>
      <c r="O124" s="83"/>
      <c r="P124" s="83"/>
      <c r="Q124" s="83"/>
    </row>
    <row r="125" spans="1:17" ht="15" x14ac:dyDescent="0.2">
      <c r="A125" s="83"/>
      <c r="B125" s="83"/>
      <c r="C125" s="133"/>
      <c r="D125" s="134"/>
      <c r="E125" s="83"/>
      <c r="F125" s="83"/>
      <c r="G125" s="135"/>
      <c r="H125" s="83"/>
      <c r="I125" s="135"/>
      <c r="J125" s="83"/>
      <c r="K125" s="137"/>
      <c r="L125" s="135"/>
      <c r="M125" s="135"/>
      <c r="N125" s="83"/>
      <c r="O125" s="83"/>
      <c r="P125" s="83"/>
      <c r="Q125" s="83"/>
    </row>
    <row r="126" spans="1:17" ht="15" x14ac:dyDescent="0.2">
      <c r="A126" s="83"/>
      <c r="B126" s="83"/>
      <c r="C126" s="133"/>
      <c r="D126" s="134"/>
      <c r="E126" s="83"/>
      <c r="F126" s="83"/>
      <c r="G126" s="135"/>
      <c r="H126" s="83"/>
      <c r="I126" s="135"/>
      <c r="J126" s="83"/>
      <c r="K126" s="137"/>
      <c r="L126" s="135"/>
      <c r="M126" s="135"/>
      <c r="N126" s="83"/>
      <c r="O126" s="83"/>
      <c r="P126" s="83"/>
      <c r="Q126" s="83"/>
    </row>
    <row r="127" spans="1:17" ht="15" x14ac:dyDescent="0.2">
      <c r="A127" s="83"/>
      <c r="B127" s="83"/>
      <c r="C127" s="133"/>
      <c r="D127" s="134"/>
      <c r="E127" s="83"/>
      <c r="F127" s="83"/>
      <c r="G127" s="135"/>
      <c r="H127" s="83"/>
      <c r="I127" s="135"/>
      <c r="J127" s="83"/>
      <c r="K127" s="137"/>
      <c r="L127" s="135"/>
      <c r="M127" s="135"/>
      <c r="N127" s="83"/>
      <c r="O127" s="83"/>
      <c r="P127" s="83"/>
      <c r="Q127" s="83"/>
    </row>
    <row r="128" spans="1:17" ht="15" x14ac:dyDescent="0.2">
      <c r="A128" s="83"/>
      <c r="B128" s="83"/>
      <c r="C128" s="133"/>
      <c r="D128" s="134"/>
      <c r="E128" s="83"/>
      <c r="F128" s="83"/>
      <c r="G128" s="135"/>
      <c r="H128" s="83"/>
      <c r="I128" s="135"/>
      <c r="J128" s="83"/>
      <c r="K128" s="137"/>
      <c r="L128" s="135"/>
      <c r="M128" s="135"/>
      <c r="N128" s="83"/>
      <c r="O128" s="83"/>
      <c r="P128" s="83"/>
      <c r="Q128" s="83"/>
    </row>
    <row r="129" spans="1:17" ht="15" x14ac:dyDescent="0.2">
      <c r="A129" s="83"/>
      <c r="B129" s="83"/>
      <c r="C129" s="133"/>
      <c r="D129" s="134"/>
      <c r="E129" s="83"/>
      <c r="F129" s="83"/>
      <c r="G129" s="135"/>
      <c r="H129" s="83"/>
      <c r="I129" s="135"/>
      <c r="J129" s="83"/>
      <c r="K129" s="137"/>
      <c r="L129" s="135"/>
      <c r="M129" s="135"/>
      <c r="N129" s="83"/>
      <c r="O129" s="83"/>
      <c r="P129" s="83"/>
      <c r="Q129" s="83"/>
    </row>
    <row r="130" spans="1:17" ht="15" x14ac:dyDescent="0.2">
      <c r="A130" s="83"/>
      <c r="B130" s="83"/>
      <c r="C130" s="133"/>
      <c r="D130" s="134"/>
      <c r="E130" s="83"/>
      <c r="F130" s="83"/>
      <c r="G130" s="135"/>
      <c r="H130" s="83"/>
      <c r="I130" s="135"/>
      <c r="J130" s="83"/>
      <c r="K130" s="137"/>
      <c r="L130" s="135"/>
      <c r="M130" s="135"/>
      <c r="N130" s="83"/>
      <c r="O130" s="83"/>
      <c r="P130" s="83"/>
      <c r="Q130" s="83"/>
    </row>
    <row r="131" spans="1:17" ht="15" x14ac:dyDescent="0.2">
      <c r="A131" s="83"/>
      <c r="B131" s="83"/>
      <c r="C131" s="133"/>
      <c r="D131" s="134"/>
      <c r="E131" s="83"/>
      <c r="F131" s="83"/>
      <c r="G131" s="135"/>
      <c r="H131" s="83"/>
      <c r="I131" s="135"/>
      <c r="J131" s="83"/>
      <c r="K131" s="137"/>
      <c r="L131" s="135"/>
      <c r="M131" s="135"/>
      <c r="N131" s="83"/>
      <c r="O131" s="83"/>
      <c r="P131" s="83"/>
      <c r="Q131" s="83"/>
    </row>
    <row r="132" spans="1:17" ht="15" x14ac:dyDescent="0.2">
      <c r="A132" s="83"/>
      <c r="B132" s="83"/>
      <c r="C132" s="133"/>
      <c r="D132" s="134"/>
      <c r="E132" s="83"/>
      <c r="F132" s="83"/>
      <c r="G132" s="135"/>
      <c r="H132" s="83"/>
      <c r="I132" s="135"/>
      <c r="J132" s="83"/>
      <c r="K132" s="137"/>
      <c r="L132" s="135"/>
      <c r="M132" s="135"/>
      <c r="N132" s="83"/>
      <c r="O132" s="83"/>
      <c r="P132" s="83"/>
      <c r="Q132" s="83"/>
    </row>
    <row r="133" spans="1:17" ht="15" x14ac:dyDescent="0.2">
      <c r="A133" s="83"/>
      <c r="B133" s="83"/>
      <c r="C133" s="133"/>
      <c r="D133" s="134"/>
      <c r="E133" s="83"/>
      <c r="F133" s="83"/>
      <c r="G133" s="135"/>
      <c r="H133" s="83"/>
      <c r="I133" s="135"/>
      <c r="J133" s="83"/>
      <c r="K133" s="137"/>
      <c r="L133" s="135"/>
      <c r="M133" s="135"/>
      <c r="N133" s="83"/>
      <c r="O133" s="83"/>
      <c r="P133" s="83"/>
      <c r="Q133" s="83"/>
    </row>
    <row r="134" spans="1:17" ht="15" x14ac:dyDescent="0.2">
      <c r="A134" s="83"/>
      <c r="B134" s="83"/>
      <c r="C134" s="133"/>
      <c r="D134" s="134"/>
      <c r="E134" s="83"/>
      <c r="F134" s="83"/>
      <c r="G134" s="135"/>
      <c r="H134" s="83"/>
      <c r="I134" s="135"/>
      <c r="J134" s="83"/>
      <c r="K134" s="137"/>
      <c r="L134" s="135"/>
      <c r="M134" s="135"/>
      <c r="N134" s="83"/>
      <c r="O134" s="83"/>
      <c r="P134" s="83"/>
      <c r="Q134" s="83"/>
    </row>
    <row r="135" spans="1:17" ht="15" x14ac:dyDescent="0.2">
      <c r="A135" s="83"/>
      <c r="B135" s="83"/>
      <c r="C135" s="133"/>
      <c r="D135" s="134"/>
      <c r="E135" s="83"/>
      <c r="F135" s="83"/>
      <c r="G135" s="135"/>
      <c r="H135" s="83"/>
      <c r="I135" s="135"/>
      <c r="J135" s="83"/>
      <c r="K135" s="137"/>
      <c r="L135" s="135"/>
      <c r="M135" s="135"/>
      <c r="N135" s="83"/>
      <c r="O135" s="83"/>
      <c r="P135" s="83"/>
      <c r="Q135" s="83"/>
    </row>
    <row r="136" spans="1:17" ht="15" x14ac:dyDescent="0.2">
      <c r="A136" s="83"/>
      <c r="B136" s="83"/>
      <c r="C136" s="133"/>
      <c r="D136" s="134"/>
      <c r="E136" s="83"/>
      <c r="F136" s="83"/>
      <c r="G136" s="135"/>
      <c r="H136" s="83"/>
      <c r="I136" s="135"/>
      <c r="J136" s="83"/>
      <c r="K136" s="137"/>
      <c r="L136" s="135"/>
      <c r="M136" s="135"/>
      <c r="N136" s="83"/>
      <c r="O136" s="83"/>
      <c r="P136" s="83"/>
      <c r="Q136" s="83"/>
    </row>
    <row r="137" spans="1:17" ht="15" x14ac:dyDescent="0.2">
      <c r="A137" s="83"/>
      <c r="B137" s="83"/>
      <c r="C137" s="133"/>
      <c r="D137" s="134"/>
      <c r="E137" s="83"/>
      <c r="F137" s="83"/>
      <c r="G137" s="135"/>
      <c r="H137" s="83"/>
      <c r="I137" s="135"/>
      <c r="J137" s="83"/>
      <c r="K137" s="137"/>
      <c r="L137" s="135"/>
      <c r="M137" s="135"/>
      <c r="N137" s="83"/>
      <c r="O137" s="83"/>
      <c r="P137" s="83"/>
      <c r="Q137" s="83"/>
    </row>
    <row r="138" spans="1:17" ht="15" x14ac:dyDescent="0.2">
      <c r="A138" s="83"/>
      <c r="B138" s="83"/>
      <c r="C138" s="133"/>
      <c r="D138" s="134"/>
      <c r="E138" s="83"/>
      <c r="F138" s="83"/>
      <c r="G138" s="135"/>
      <c r="H138" s="83"/>
      <c r="I138" s="135"/>
      <c r="J138" s="83"/>
      <c r="K138" s="137"/>
      <c r="L138" s="135"/>
      <c r="M138" s="135"/>
      <c r="N138" s="83"/>
      <c r="O138" s="83"/>
      <c r="P138" s="83"/>
      <c r="Q138" s="83"/>
    </row>
    <row r="139" spans="1:17" ht="15" x14ac:dyDescent="0.2">
      <c r="A139" s="83"/>
      <c r="B139" s="83"/>
      <c r="C139" s="133"/>
      <c r="D139" s="134"/>
      <c r="E139" s="83"/>
      <c r="F139" s="83"/>
      <c r="G139" s="135"/>
      <c r="H139" s="83"/>
      <c r="I139" s="135"/>
      <c r="J139" s="83"/>
      <c r="K139" s="137"/>
      <c r="L139" s="135"/>
      <c r="M139" s="135"/>
      <c r="N139" s="83"/>
      <c r="O139" s="83"/>
      <c r="P139" s="83"/>
      <c r="Q139" s="83"/>
    </row>
    <row r="140" spans="1:17" ht="15" x14ac:dyDescent="0.2">
      <c r="A140" s="83"/>
      <c r="B140" s="83"/>
      <c r="C140" s="133"/>
      <c r="D140" s="134"/>
      <c r="E140" s="83"/>
      <c r="F140" s="83"/>
      <c r="G140" s="135"/>
      <c r="H140" s="83"/>
      <c r="I140" s="135"/>
      <c r="J140" s="83"/>
      <c r="K140" s="137"/>
      <c r="L140" s="135"/>
      <c r="M140" s="135"/>
      <c r="N140" s="83"/>
      <c r="O140" s="83"/>
      <c r="P140" s="83"/>
      <c r="Q140" s="83"/>
    </row>
    <row r="141" spans="1:17" ht="15" x14ac:dyDescent="0.2">
      <c r="A141" s="83"/>
      <c r="B141" s="83"/>
      <c r="C141" s="133"/>
      <c r="D141" s="134"/>
      <c r="E141" s="83"/>
      <c r="F141" s="83"/>
      <c r="G141" s="135"/>
      <c r="H141" s="83"/>
      <c r="I141" s="135"/>
      <c r="J141" s="83"/>
      <c r="K141" s="137"/>
      <c r="L141" s="135"/>
      <c r="M141" s="135"/>
      <c r="N141" s="83"/>
      <c r="O141" s="83"/>
      <c r="P141" s="83"/>
      <c r="Q141" s="83"/>
    </row>
    <row r="142" spans="1:17" ht="15" x14ac:dyDescent="0.2">
      <c r="A142" s="83"/>
      <c r="B142" s="83"/>
      <c r="C142" s="133"/>
      <c r="D142" s="134"/>
      <c r="E142" s="83"/>
      <c r="F142" s="83"/>
      <c r="G142" s="135"/>
      <c r="H142" s="83"/>
      <c r="I142" s="135"/>
      <c r="J142" s="83"/>
      <c r="K142" s="137"/>
      <c r="L142" s="135"/>
      <c r="M142" s="135"/>
      <c r="N142" s="83"/>
      <c r="O142" s="83"/>
      <c r="P142" s="83"/>
      <c r="Q142" s="83"/>
    </row>
    <row r="143" spans="1:17" ht="15" x14ac:dyDescent="0.2">
      <c r="A143" s="83"/>
      <c r="B143" s="83"/>
      <c r="C143" s="133"/>
      <c r="D143" s="134"/>
      <c r="E143" s="83"/>
      <c r="F143" s="83"/>
      <c r="G143" s="135"/>
      <c r="H143" s="83"/>
      <c r="I143" s="135"/>
      <c r="J143" s="83"/>
      <c r="K143" s="137"/>
      <c r="L143" s="135"/>
      <c r="M143" s="135"/>
      <c r="N143" s="83"/>
      <c r="O143" s="83"/>
      <c r="P143" s="83"/>
      <c r="Q143" s="83"/>
    </row>
    <row r="144" spans="1:17" ht="15" x14ac:dyDescent="0.2">
      <c r="A144" s="83"/>
      <c r="B144" s="83"/>
      <c r="C144" s="133"/>
      <c r="D144" s="134"/>
      <c r="E144" s="83"/>
      <c r="F144" s="83"/>
      <c r="G144" s="135"/>
      <c r="H144" s="83"/>
      <c r="I144" s="135"/>
      <c r="J144" s="83"/>
      <c r="K144" s="137"/>
      <c r="L144" s="135"/>
      <c r="M144" s="135"/>
      <c r="N144" s="83"/>
      <c r="O144" s="83"/>
      <c r="P144" s="83"/>
      <c r="Q144" s="83"/>
    </row>
    <row r="145" spans="1:17" ht="15" x14ac:dyDescent="0.2">
      <c r="A145" s="83"/>
      <c r="B145" s="83"/>
      <c r="C145" s="133"/>
      <c r="D145" s="134"/>
      <c r="E145" s="83"/>
      <c r="F145" s="83"/>
      <c r="G145" s="135"/>
      <c r="H145" s="83"/>
      <c r="I145" s="135"/>
      <c r="J145" s="83"/>
      <c r="K145" s="137"/>
      <c r="L145" s="135"/>
      <c r="M145" s="135"/>
      <c r="N145" s="83"/>
      <c r="O145" s="83"/>
      <c r="P145" s="83"/>
      <c r="Q145" s="83"/>
    </row>
    <row r="146" spans="1:17" ht="15" x14ac:dyDescent="0.2">
      <c r="A146" s="83"/>
      <c r="B146" s="83"/>
      <c r="C146" s="133"/>
      <c r="D146" s="134"/>
      <c r="E146" s="83"/>
      <c r="F146" s="83"/>
      <c r="G146" s="135"/>
      <c r="H146" s="83"/>
      <c r="I146" s="135"/>
      <c r="J146" s="83"/>
      <c r="K146" s="137"/>
      <c r="L146" s="135"/>
      <c r="M146" s="135"/>
      <c r="N146" s="83"/>
      <c r="O146" s="83"/>
      <c r="P146" s="83"/>
      <c r="Q146" s="83"/>
    </row>
    <row r="147" spans="1:17" ht="15" x14ac:dyDescent="0.2">
      <c r="A147" s="83"/>
      <c r="B147" s="83"/>
      <c r="C147" s="133"/>
      <c r="D147" s="134"/>
      <c r="E147" s="83"/>
      <c r="F147" s="83"/>
      <c r="G147" s="135"/>
      <c r="H147" s="83"/>
      <c r="I147" s="135"/>
      <c r="J147" s="83"/>
      <c r="K147" s="137"/>
      <c r="L147" s="135"/>
      <c r="M147" s="135"/>
      <c r="N147" s="83"/>
      <c r="O147" s="83"/>
      <c r="P147" s="83"/>
      <c r="Q147" s="83"/>
    </row>
    <row r="148" spans="1:17" ht="15" x14ac:dyDescent="0.2">
      <c r="A148" s="83"/>
      <c r="B148" s="83"/>
      <c r="C148" s="133"/>
      <c r="D148" s="134"/>
      <c r="E148" s="83"/>
      <c r="F148" s="83"/>
      <c r="G148" s="135"/>
      <c r="H148" s="83"/>
      <c r="I148" s="135"/>
      <c r="J148" s="83"/>
      <c r="K148" s="137"/>
      <c r="L148" s="135"/>
      <c r="M148" s="135"/>
      <c r="N148" s="83"/>
      <c r="O148" s="83"/>
      <c r="P148" s="83"/>
      <c r="Q148" s="83"/>
    </row>
    <row r="149" spans="1:17" ht="15" x14ac:dyDescent="0.2">
      <c r="A149" s="83"/>
      <c r="B149" s="83"/>
      <c r="C149" s="133"/>
      <c r="D149" s="134"/>
      <c r="E149" s="83"/>
      <c r="F149" s="83"/>
      <c r="G149" s="135"/>
      <c r="H149" s="83"/>
      <c r="I149" s="135"/>
      <c r="J149" s="83"/>
      <c r="K149" s="137"/>
      <c r="L149" s="135"/>
      <c r="M149" s="135"/>
      <c r="N149" s="83"/>
      <c r="O149" s="83"/>
      <c r="P149" s="83"/>
      <c r="Q149" s="83"/>
    </row>
    <row r="150" spans="1:17" ht="15" x14ac:dyDescent="0.2">
      <c r="A150" s="83"/>
      <c r="B150" s="83"/>
      <c r="C150" s="133"/>
      <c r="D150" s="134"/>
      <c r="E150" s="83"/>
      <c r="F150" s="83"/>
      <c r="G150" s="135"/>
      <c r="H150" s="83"/>
      <c r="I150" s="135"/>
      <c r="J150" s="83"/>
      <c r="K150" s="137"/>
      <c r="L150" s="135"/>
      <c r="M150" s="135"/>
      <c r="N150" s="83"/>
      <c r="O150" s="83"/>
      <c r="P150" s="83"/>
      <c r="Q150" s="83"/>
    </row>
    <row r="151" spans="1:17" ht="15" x14ac:dyDescent="0.2">
      <c r="A151" s="83"/>
      <c r="B151" s="83"/>
      <c r="C151" s="133"/>
      <c r="D151" s="134"/>
      <c r="E151" s="83"/>
      <c r="F151" s="83"/>
      <c r="G151" s="135"/>
      <c r="H151" s="83"/>
      <c r="I151" s="135"/>
      <c r="J151" s="83"/>
      <c r="K151" s="137"/>
      <c r="L151" s="135"/>
      <c r="M151" s="135"/>
      <c r="N151" s="83"/>
      <c r="O151" s="83"/>
      <c r="P151" s="83"/>
      <c r="Q151" s="83"/>
    </row>
    <row r="152" spans="1:17" ht="15" x14ac:dyDescent="0.2">
      <c r="A152" s="83"/>
      <c r="B152" s="83"/>
      <c r="C152" s="133"/>
      <c r="D152" s="134"/>
      <c r="E152" s="83"/>
      <c r="F152" s="83"/>
      <c r="G152" s="135"/>
      <c r="H152" s="83"/>
      <c r="I152" s="135"/>
      <c r="J152" s="83"/>
      <c r="K152" s="137"/>
      <c r="L152" s="135"/>
      <c r="M152" s="135"/>
      <c r="N152" s="83"/>
      <c r="O152" s="83"/>
      <c r="P152" s="83"/>
      <c r="Q152" s="83"/>
    </row>
    <row r="153" spans="1:17" ht="15" x14ac:dyDescent="0.2">
      <c r="A153" s="83"/>
      <c r="B153" s="83"/>
      <c r="C153" s="133"/>
      <c r="D153" s="134"/>
      <c r="E153" s="83"/>
      <c r="F153" s="83"/>
      <c r="G153" s="135"/>
      <c r="H153" s="83"/>
      <c r="I153" s="135"/>
      <c r="J153" s="83"/>
      <c r="K153" s="137"/>
      <c r="L153" s="135"/>
      <c r="M153" s="135"/>
      <c r="N153" s="83"/>
      <c r="O153" s="83"/>
      <c r="P153" s="83"/>
      <c r="Q153" s="83"/>
    </row>
    <row r="154" spans="1:17" ht="15" x14ac:dyDescent="0.2">
      <c r="A154" s="83"/>
      <c r="B154" s="83"/>
      <c r="C154" s="133"/>
      <c r="D154" s="134"/>
      <c r="E154" s="83"/>
      <c r="F154" s="83"/>
      <c r="G154" s="135"/>
      <c r="H154" s="83"/>
      <c r="I154" s="135"/>
      <c r="J154" s="83"/>
      <c r="K154" s="137"/>
      <c r="L154" s="135"/>
      <c r="M154" s="135"/>
      <c r="N154" s="83"/>
      <c r="O154" s="83"/>
      <c r="P154" s="83"/>
      <c r="Q154" s="83"/>
    </row>
    <row r="155" spans="1:17" ht="15" x14ac:dyDescent="0.2">
      <c r="A155" s="83"/>
      <c r="B155" s="83"/>
      <c r="C155" s="133"/>
      <c r="D155" s="134"/>
      <c r="E155" s="83"/>
      <c r="F155" s="83"/>
      <c r="G155" s="135"/>
      <c r="H155" s="83"/>
      <c r="I155" s="135"/>
      <c r="J155" s="83"/>
      <c r="K155" s="137"/>
      <c r="L155" s="135"/>
      <c r="M155" s="135"/>
      <c r="N155" s="83"/>
      <c r="O155" s="83"/>
      <c r="P155" s="83"/>
      <c r="Q155" s="83"/>
    </row>
    <row r="156" spans="1:17" ht="15" x14ac:dyDescent="0.2">
      <c r="A156" s="83"/>
      <c r="B156" s="83"/>
      <c r="C156" s="133"/>
      <c r="D156" s="134"/>
      <c r="E156" s="83"/>
      <c r="F156" s="83"/>
      <c r="G156" s="135"/>
      <c r="H156" s="83"/>
      <c r="I156" s="135"/>
      <c r="J156" s="83"/>
      <c r="K156" s="137"/>
      <c r="L156" s="135"/>
      <c r="M156" s="135"/>
      <c r="N156" s="83"/>
      <c r="O156" s="83"/>
      <c r="P156" s="83"/>
      <c r="Q156" s="83"/>
    </row>
    <row r="157" spans="1:17" ht="15" x14ac:dyDescent="0.2">
      <c r="A157" s="83"/>
      <c r="B157" s="83"/>
      <c r="C157" s="133"/>
      <c r="D157" s="134"/>
      <c r="E157" s="83"/>
      <c r="F157" s="83"/>
      <c r="G157" s="135"/>
      <c r="H157" s="83"/>
      <c r="I157" s="135"/>
      <c r="J157" s="83"/>
      <c r="K157" s="137"/>
      <c r="L157" s="135"/>
      <c r="M157" s="135"/>
      <c r="N157" s="83"/>
      <c r="O157" s="83"/>
      <c r="P157" s="83"/>
      <c r="Q157" s="83"/>
    </row>
    <row r="158" spans="1:17" ht="15" x14ac:dyDescent="0.2">
      <c r="A158" s="83"/>
      <c r="B158" s="83"/>
      <c r="C158" s="133"/>
      <c r="D158" s="134"/>
      <c r="E158" s="83"/>
      <c r="F158" s="83"/>
      <c r="G158" s="135"/>
      <c r="H158" s="83"/>
      <c r="I158" s="135"/>
      <c r="J158" s="83"/>
      <c r="K158" s="137"/>
      <c r="L158" s="135"/>
      <c r="M158" s="135"/>
      <c r="N158" s="83"/>
      <c r="O158" s="83"/>
      <c r="P158" s="83"/>
      <c r="Q158" s="83"/>
    </row>
    <row r="159" spans="1:17" ht="15" x14ac:dyDescent="0.2">
      <c r="A159" s="83"/>
      <c r="B159" s="83"/>
      <c r="C159" s="133"/>
      <c r="D159" s="134"/>
      <c r="E159" s="83"/>
      <c r="F159" s="83"/>
      <c r="G159" s="135"/>
      <c r="H159" s="83"/>
      <c r="I159" s="135"/>
      <c r="J159" s="83"/>
      <c r="K159" s="137"/>
      <c r="L159" s="135"/>
      <c r="M159" s="135"/>
      <c r="N159" s="83"/>
      <c r="O159" s="83"/>
      <c r="P159" s="83"/>
      <c r="Q159" s="83"/>
    </row>
    <row r="160" spans="1:17" ht="15" x14ac:dyDescent="0.2">
      <c r="A160" s="83"/>
      <c r="B160" s="83"/>
      <c r="C160" s="133"/>
      <c r="D160" s="134"/>
      <c r="E160" s="83"/>
      <c r="F160" s="83"/>
      <c r="G160" s="135"/>
      <c r="H160" s="83"/>
      <c r="I160" s="135"/>
      <c r="J160" s="83"/>
      <c r="K160" s="137"/>
      <c r="L160" s="135"/>
      <c r="M160" s="135"/>
      <c r="N160" s="83"/>
      <c r="O160" s="83"/>
      <c r="P160" s="83"/>
      <c r="Q160" s="83"/>
    </row>
    <row r="161" spans="1:17" ht="15" x14ac:dyDescent="0.2">
      <c r="A161" s="83"/>
      <c r="B161" s="83"/>
      <c r="C161" s="133"/>
      <c r="D161" s="134"/>
      <c r="E161" s="83"/>
      <c r="F161" s="83"/>
      <c r="G161" s="135"/>
      <c r="H161" s="83"/>
      <c r="I161" s="135"/>
      <c r="J161" s="83"/>
      <c r="K161" s="137"/>
      <c r="L161" s="135"/>
      <c r="M161" s="135"/>
      <c r="N161" s="83"/>
      <c r="O161" s="83"/>
      <c r="P161" s="83"/>
      <c r="Q161" s="83"/>
    </row>
    <row r="162" spans="1:17" ht="15" x14ac:dyDescent="0.2">
      <c r="A162" s="83"/>
      <c r="B162" s="83"/>
      <c r="C162" s="133"/>
      <c r="D162" s="134"/>
      <c r="E162" s="83"/>
      <c r="F162" s="83"/>
      <c r="G162" s="135"/>
      <c r="H162" s="83"/>
      <c r="I162" s="135"/>
      <c r="J162" s="83"/>
      <c r="K162" s="137"/>
      <c r="L162" s="135"/>
      <c r="M162" s="135"/>
      <c r="N162" s="83"/>
      <c r="O162" s="83"/>
      <c r="P162" s="83"/>
      <c r="Q162" s="83"/>
    </row>
    <row r="163" spans="1:17" ht="15" x14ac:dyDescent="0.2">
      <c r="A163" s="83"/>
      <c r="B163" s="83" t="s">
        <v>264</v>
      </c>
      <c r="C163" s="133" t="s">
        <v>274</v>
      </c>
      <c r="D163" s="134" t="s">
        <v>263</v>
      </c>
      <c r="E163" s="83" t="s">
        <v>264</v>
      </c>
      <c r="F163" s="83" t="s">
        <v>265</v>
      </c>
      <c r="G163" s="135" t="s">
        <v>268</v>
      </c>
      <c r="H163" s="83" t="s">
        <v>267</v>
      </c>
      <c r="I163" s="135" t="s">
        <v>702</v>
      </c>
      <c r="J163" s="83"/>
      <c r="K163" s="137" t="s">
        <v>1062</v>
      </c>
      <c r="L163" s="135" t="s">
        <v>702</v>
      </c>
      <c r="M163" s="135" t="s">
        <v>702</v>
      </c>
      <c r="N163" s="83"/>
      <c r="O163" s="83" t="s">
        <v>1491</v>
      </c>
      <c r="P163" s="83" t="s">
        <v>243</v>
      </c>
      <c r="Q163" s="83">
        <v>2025</v>
      </c>
    </row>
    <row r="164" spans="1:17" ht="15" x14ac:dyDescent="0.2">
      <c r="A164" s="83"/>
      <c r="B164" s="83" t="s">
        <v>264</v>
      </c>
      <c r="C164" s="133" t="s">
        <v>275</v>
      </c>
      <c r="D164" s="134" t="s">
        <v>263</v>
      </c>
      <c r="E164" s="83" t="s">
        <v>264</v>
      </c>
      <c r="F164" s="83" t="s">
        <v>265</v>
      </c>
      <c r="G164" s="135" t="s">
        <v>269</v>
      </c>
      <c r="H164" s="83" t="s">
        <v>267</v>
      </c>
      <c r="I164" s="135" t="s">
        <v>703</v>
      </c>
      <c r="J164" s="83"/>
      <c r="K164" s="137" t="s">
        <v>1063</v>
      </c>
      <c r="L164" s="135" t="s">
        <v>703</v>
      </c>
      <c r="M164" s="135" t="s">
        <v>703</v>
      </c>
      <c r="N164" s="83"/>
      <c r="O164" s="83" t="s">
        <v>1490</v>
      </c>
      <c r="P164" s="83" t="s">
        <v>243</v>
      </c>
      <c r="Q164" s="83">
        <v>2025</v>
      </c>
    </row>
    <row r="165" spans="1:17" ht="15" x14ac:dyDescent="0.2">
      <c r="A165" s="83" t="s">
        <v>23</v>
      </c>
      <c r="B165" s="83" t="s">
        <v>264</v>
      </c>
      <c r="C165" s="133" t="s">
        <v>276</v>
      </c>
      <c r="D165" s="134" t="s">
        <v>263</v>
      </c>
      <c r="E165" s="83" t="s">
        <v>264</v>
      </c>
      <c r="F165" s="83" t="s">
        <v>265</v>
      </c>
      <c r="G165" s="135" t="s">
        <v>268</v>
      </c>
      <c r="H165" s="83" t="s">
        <v>267</v>
      </c>
      <c r="I165" s="135" t="s">
        <v>704</v>
      </c>
      <c r="J165" s="83"/>
      <c r="K165" s="137" t="s">
        <v>1064</v>
      </c>
      <c r="L165" s="135" t="s">
        <v>704</v>
      </c>
      <c r="M165" s="135" t="s">
        <v>704</v>
      </c>
      <c r="N165" s="83"/>
      <c r="O165" s="83" t="s">
        <v>1491</v>
      </c>
      <c r="P165" s="83" t="s">
        <v>243</v>
      </c>
      <c r="Q165" s="83">
        <v>2025</v>
      </c>
    </row>
    <row r="166" spans="1:17" ht="15" x14ac:dyDescent="0.2">
      <c r="A166" s="83"/>
      <c r="B166" s="83" t="s">
        <v>264</v>
      </c>
      <c r="C166" s="133" t="s">
        <v>277</v>
      </c>
      <c r="D166" s="134" t="s">
        <v>263</v>
      </c>
      <c r="E166" s="83" t="s">
        <v>264</v>
      </c>
      <c r="F166" s="83" t="s">
        <v>265</v>
      </c>
      <c r="G166" s="135" t="s">
        <v>268</v>
      </c>
      <c r="H166" s="83" t="s">
        <v>267</v>
      </c>
      <c r="I166" s="135" t="s">
        <v>705</v>
      </c>
      <c r="J166" s="83"/>
      <c r="K166" s="137" t="s">
        <v>1065</v>
      </c>
      <c r="L166" s="135" t="s">
        <v>705</v>
      </c>
      <c r="M166" s="135" t="s">
        <v>705</v>
      </c>
      <c r="N166" s="83"/>
      <c r="O166" s="83" t="s">
        <v>1491</v>
      </c>
      <c r="P166" s="83" t="s">
        <v>243</v>
      </c>
      <c r="Q166" s="83">
        <v>2025</v>
      </c>
    </row>
    <row r="167" spans="1:17" ht="15" x14ac:dyDescent="0.2">
      <c r="A167" s="83"/>
      <c r="B167" s="83" t="s">
        <v>264</v>
      </c>
      <c r="C167" s="133" t="s">
        <v>278</v>
      </c>
      <c r="D167" s="134" t="s">
        <v>263</v>
      </c>
      <c r="E167" s="83" t="s">
        <v>264</v>
      </c>
      <c r="F167" s="83" t="s">
        <v>265</v>
      </c>
      <c r="G167" s="135" t="s">
        <v>268</v>
      </c>
      <c r="H167" s="83" t="s">
        <v>267</v>
      </c>
      <c r="I167" s="135" t="s">
        <v>706</v>
      </c>
      <c r="J167" s="83"/>
      <c r="K167" s="137" t="s">
        <v>1066</v>
      </c>
      <c r="L167" s="135" t="s">
        <v>706</v>
      </c>
      <c r="M167" s="135" t="s">
        <v>706</v>
      </c>
      <c r="N167" s="83"/>
      <c r="O167" s="83" t="s">
        <v>1491</v>
      </c>
      <c r="P167" s="83" t="s">
        <v>243</v>
      </c>
      <c r="Q167" s="83">
        <v>2025</v>
      </c>
    </row>
    <row r="168" spans="1:17" ht="15" x14ac:dyDescent="0.2">
      <c r="A168" s="83"/>
      <c r="B168" s="83" t="s">
        <v>264</v>
      </c>
      <c r="C168" s="133" t="s">
        <v>279</v>
      </c>
      <c r="D168" s="134" t="s">
        <v>263</v>
      </c>
      <c r="E168" s="83" t="s">
        <v>264</v>
      </c>
      <c r="F168" s="83" t="s">
        <v>265</v>
      </c>
      <c r="G168" s="135" t="s">
        <v>268</v>
      </c>
      <c r="H168" s="83" t="s">
        <v>267</v>
      </c>
      <c r="I168" s="135" t="s">
        <v>707</v>
      </c>
      <c r="J168" s="83"/>
      <c r="K168" s="137" t="s">
        <v>1067</v>
      </c>
      <c r="L168" s="135" t="s">
        <v>707</v>
      </c>
      <c r="M168" s="135" t="s">
        <v>707</v>
      </c>
      <c r="N168" s="83"/>
      <c r="O168" s="83" t="s">
        <v>1491</v>
      </c>
      <c r="P168" s="83" t="s">
        <v>243</v>
      </c>
      <c r="Q168" s="83">
        <v>2025</v>
      </c>
    </row>
    <row r="169" spans="1:17" ht="15" x14ac:dyDescent="0.2">
      <c r="A169" s="83"/>
      <c r="B169" s="83" t="s">
        <v>264</v>
      </c>
      <c r="C169" s="133" t="s">
        <v>280</v>
      </c>
      <c r="D169" s="134" t="s">
        <v>263</v>
      </c>
      <c r="E169" s="83" t="s">
        <v>264</v>
      </c>
      <c r="F169" s="83" t="s">
        <v>265</v>
      </c>
      <c r="G169" s="135" t="s">
        <v>268</v>
      </c>
      <c r="H169" s="83" t="s">
        <v>267</v>
      </c>
      <c r="I169" s="135" t="s">
        <v>708</v>
      </c>
      <c r="J169" s="83"/>
      <c r="K169" s="137" t="s">
        <v>1068</v>
      </c>
      <c r="L169" s="135" t="s">
        <v>708</v>
      </c>
      <c r="M169" s="135" t="s">
        <v>708</v>
      </c>
      <c r="N169" s="83"/>
      <c r="O169" s="83" t="s">
        <v>1491</v>
      </c>
      <c r="P169" s="83" t="s">
        <v>243</v>
      </c>
      <c r="Q169" s="83">
        <v>2025</v>
      </c>
    </row>
    <row r="170" spans="1:17" ht="15" x14ac:dyDescent="0.2">
      <c r="A170" s="83"/>
      <c r="B170" s="83" t="s">
        <v>264</v>
      </c>
      <c r="C170" s="133" t="s">
        <v>281</v>
      </c>
      <c r="D170" s="134" t="s">
        <v>263</v>
      </c>
      <c r="E170" s="83" t="s">
        <v>264</v>
      </c>
      <c r="F170" s="83" t="s">
        <v>265</v>
      </c>
      <c r="G170" s="135" t="s">
        <v>268</v>
      </c>
      <c r="H170" s="83" t="s">
        <v>267</v>
      </c>
      <c r="I170" s="135" t="s">
        <v>709</v>
      </c>
      <c r="J170" s="83"/>
      <c r="K170" s="137" t="s">
        <v>1069</v>
      </c>
      <c r="L170" s="135" t="s">
        <v>709</v>
      </c>
      <c r="M170" s="135" t="s">
        <v>709</v>
      </c>
      <c r="N170" s="83"/>
      <c r="O170" s="83" t="s">
        <v>1491</v>
      </c>
      <c r="P170" s="83" t="s">
        <v>243</v>
      </c>
      <c r="Q170" s="83">
        <v>2025</v>
      </c>
    </row>
    <row r="171" spans="1:17" ht="15" x14ac:dyDescent="0.2">
      <c r="A171" s="83"/>
      <c r="B171" s="83" t="s">
        <v>264</v>
      </c>
      <c r="C171" s="133" t="s">
        <v>282</v>
      </c>
      <c r="D171" s="134" t="s">
        <v>263</v>
      </c>
      <c r="E171" s="83" t="s">
        <v>264</v>
      </c>
      <c r="F171" s="83" t="s">
        <v>265</v>
      </c>
      <c r="G171" s="135" t="s">
        <v>268</v>
      </c>
      <c r="H171" s="83" t="s">
        <v>267</v>
      </c>
      <c r="I171" s="135" t="s">
        <v>710</v>
      </c>
      <c r="J171" s="83"/>
      <c r="K171" s="137" t="s">
        <v>1070</v>
      </c>
      <c r="L171" s="135" t="s">
        <v>710</v>
      </c>
      <c r="M171" s="135" t="s">
        <v>710</v>
      </c>
      <c r="N171" s="83"/>
      <c r="O171" s="83" t="s">
        <v>1491</v>
      </c>
      <c r="P171" s="83" t="s">
        <v>243</v>
      </c>
      <c r="Q171" s="83">
        <v>2025</v>
      </c>
    </row>
    <row r="172" spans="1:17" ht="15" x14ac:dyDescent="0.2">
      <c r="A172" s="83"/>
      <c r="B172" s="83" t="s">
        <v>264</v>
      </c>
      <c r="C172" s="133" t="s">
        <v>283</v>
      </c>
      <c r="D172" s="134" t="s">
        <v>263</v>
      </c>
      <c r="E172" s="83" t="s">
        <v>264</v>
      </c>
      <c r="F172" s="83" t="s">
        <v>265</v>
      </c>
      <c r="G172" s="135" t="s">
        <v>268</v>
      </c>
      <c r="H172" s="83" t="s">
        <v>267</v>
      </c>
      <c r="I172" s="135" t="s">
        <v>711</v>
      </c>
      <c r="J172" s="83"/>
      <c r="K172" s="137" t="s">
        <v>1071</v>
      </c>
      <c r="L172" s="135" t="s">
        <v>711</v>
      </c>
      <c r="M172" s="135" t="s">
        <v>711</v>
      </c>
      <c r="N172" s="83"/>
      <c r="O172" s="83" t="s">
        <v>1491</v>
      </c>
      <c r="P172" s="83" t="s">
        <v>243</v>
      </c>
      <c r="Q172" s="83">
        <v>2025</v>
      </c>
    </row>
    <row r="173" spans="1:17" ht="15" x14ac:dyDescent="0.2">
      <c r="A173" s="83"/>
      <c r="B173" s="83" t="s">
        <v>264</v>
      </c>
      <c r="C173" s="133" t="s">
        <v>284</v>
      </c>
      <c r="D173" s="134" t="s">
        <v>263</v>
      </c>
      <c r="E173" s="83" t="s">
        <v>264</v>
      </c>
      <c r="F173" s="83" t="s">
        <v>265</v>
      </c>
      <c r="G173" s="135" t="s">
        <v>268</v>
      </c>
      <c r="H173" s="83" t="s">
        <v>267</v>
      </c>
      <c r="I173" s="135" t="s">
        <v>712</v>
      </c>
      <c r="J173" s="83"/>
      <c r="K173" s="137" t="s">
        <v>1072</v>
      </c>
      <c r="L173" s="135" t="s">
        <v>712</v>
      </c>
      <c r="M173" s="135" t="s">
        <v>712</v>
      </c>
      <c r="N173" s="83"/>
      <c r="O173" s="83" t="s">
        <v>1491</v>
      </c>
      <c r="P173" s="83" t="s">
        <v>243</v>
      </c>
      <c r="Q173" s="83">
        <v>2025</v>
      </c>
    </row>
    <row r="174" spans="1:17" ht="15" x14ac:dyDescent="0.2">
      <c r="A174" s="83"/>
      <c r="B174" s="83" t="s">
        <v>264</v>
      </c>
      <c r="C174" s="133" t="s">
        <v>285</v>
      </c>
      <c r="D174" s="134" t="s">
        <v>263</v>
      </c>
      <c r="E174" s="83" t="s">
        <v>264</v>
      </c>
      <c r="F174" s="83" t="s">
        <v>265</v>
      </c>
      <c r="G174" s="135" t="s">
        <v>268</v>
      </c>
      <c r="H174" s="83" t="s">
        <v>267</v>
      </c>
      <c r="I174" s="135" t="s">
        <v>713</v>
      </c>
      <c r="J174" s="83"/>
      <c r="K174" s="137" t="s">
        <v>1073</v>
      </c>
      <c r="L174" s="135" t="s">
        <v>713</v>
      </c>
      <c r="M174" s="135" t="s">
        <v>713</v>
      </c>
      <c r="N174" s="83"/>
      <c r="O174" s="83" t="s">
        <v>1491</v>
      </c>
      <c r="P174" s="83" t="s">
        <v>243</v>
      </c>
      <c r="Q174" s="83">
        <v>2025</v>
      </c>
    </row>
    <row r="175" spans="1:17" ht="15" x14ac:dyDescent="0.2">
      <c r="A175" s="83"/>
      <c r="B175" s="83" t="s">
        <v>264</v>
      </c>
      <c r="C175" s="133" t="s">
        <v>286</v>
      </c>
      <c r="D175" s="134" t="s">
        <v>263</v>
      </c>
      <c r="E175" s="83" t="s">
        <v>264</v>
      </c>
      <c r="F175" s="83" t="s">
        <v>265</v>
      </c>
      <c r="G175" s="135" t="s">
        <v>271</v>
      </c>
      <c r="H175" s="83" t="s">
        <v>267</v>
      </c>
      <c r="I175" s="135" t="s">
        <v>714</v>
      </c>
      <c r="J175" s="83"/>
      <c r="K175" s="137" t="s">
        <v>1074</v>
      </c>
      <c r="L175" s="135" t="s">
        <v>714</v>
      </c>
      <c r="M175" s="135" t="s">
        <v>714</v>
      </c>
      <c r="N175" s="83"/>
      <c r="O175" s="83" t="s">
        <v>1491</v>
      </c>
      <c r="P175" s="83" t="s">
        <v>243</v>
      </c>
      <c r="Q175" s="83">
        <v>2025</v>
      </c>
    </row>
    <row r="176" spans="1:17" ht="15" x14ac:dyDescent="0.2">
      <c r="A176" s="83"/>
      <c r="B176" s="83" t="s">
        <v>264</v>
      </c>
      <c r="C176" s="133" t="s">
        <v>287</v>
      </c>
      <c r="D176" s="134" t="s">
        <v>263</v>
      </c>
      <c r="E176" s="83" t="s">
        <v>264</v>
      </c>
      <c r="F176" s="83" t="s">
        <v>265</v>
      </c>
      <c r="G176" s="135" t="s">
        <v>268</v>
      </c>
      <c r="H176" s="83" t="s">
        <v>267</v>
      </c>
      <c r="I176" s="135" t="s">
        <v>715</v>
      </c>
      <c r="J176" s="83"/>
      <c r="K176" s="137" t="s">
        <v>1075</v>
      </c>
      <c r="L176" s="135" t="s">
        <v>715</v>
      </c>
      <c r="M176" s="135" t="s">
        <v>715</v>
      </c>
      <c r="N176" s="83"/>
      <c r="O176" s="83" t="s">
        <v>1491</v>
      </c>
      <c r="P176" s="83" t="s">
        <v>243</v>
      </c>
      <c r="Q176" s="83">
        <v>2025</v>
      </c>
    </row>
    <row r="177" spans="1:17" ht="15" x14ac:dyDescent="0.2">
      <c r="A177" s="83"/>
      <c r="B177" s="83" t="s">
        <v>264</v>
      </c>
      <c r="C177" s="133" t="s">
        <v>288</v>
      </c>
      <c r="D177" s="134" t="s">
        <v>263</v>
      </c>
      <c r="E177" s="83" t="s">
        <v>264</v>
      </c>
      <c r="F177" s="83" t="s">
        <v>265</v>
      </c>
      <c r="G177" s="135" t="s">
        <v>268</v>
      </c>
      <c r="H177" s="83" t="s">
        <v>267</v>
      </c>
      <c r="I177" s="135" t="s">
        <v>716</v>
      </c>
      <c r="J177" s="83"/>
      <c r="K177" s="137" t="s">
        <v>1076</v>
      </c>
      <c r="L177" s="135" t="s">
        <v>716</v>
      </c>
      <c r="M177" s="135" t="s">
        <v>716</v>
      </c>
      <c r="N177" s="83"/>
      <c r="O177" s="83" t="s">
        <v>1491</v>
      </c>
      <c r="P177" s="83" t="s">
        <v>243</v>
      </c>
      <c r="Q177" s="83">
        <v>2025</v>
      </c>
    </row>
    <row r="178" spans="1:17" ht="15" x14ac:dyDescent="0.2">
      <c r="A178" s="83"/>
      <c r="B178" s="83" t="s">
        <v>264</v>
      </c>
      <c r="C178" s="133" t="s">
        <v>289</v>
      </c>
      <c r="D178" s="134" t="s">
        <v>263</v>
      </c>
      <c r="E178" s="83" t="s">
        <v>264</v>
      </c>
      <c r="F178" s="83" t="s">
        <v>265</v>
      </c>
      <c r="G178" s="135" t="s">
        <v>269</v>
      </c>
      <c r="H178" s="83" t="s">
        <v>267</v>
      </c>
      <c r="I178" s="135" t="s">
        <v>717</v>
      </c>
      <c r="J178" s="83"/>
      <c r="K178" s="137" t="s">
        <v>1077</v>
      </c>
      <c r="L178" s="135" t="s">
        <v>717</v>
      </c>
      <c r="M178" s="135" t="s">
        <v>717</v>
      </c>
      <c r="N178" s="83"/>
      <c r="O178" s="83" t="s">
        <v>1490</v>
      </c>
      <c r="P178" s="83" t="s">
        <v>243</v>
      </c>
      <c r="Q178" s="83">
        <v>2025</v>
      </c>
    </row>
    <row r="179" spans="1:17" ht="15" x14ac:dyDescent="0.2">
      <c r="A179" s="83"/>
      <c r="B179" s="83" t="s">
        <v>264</v>
      </c>
      <c r="C179" s="133" t="s">
        <v>290</v>
      </c>
      <c r="D179" s="134" t="s">
        <v>263</v>
      </c>
      <c r="E179" s="83" t="s">
        <v>264</v>
      </c>
      <c r="F179" s="83" t="s">
        <v>265</v>
      </c>
      <c r="G179" s="135" t="s">
        <v>271</v>
      </c>
      <c r="H179" s="83" t="s">
        <v>267</v>
      </c>
      <c r="I179" s="135" t="s">
        <v>718</v>
      </c>
      <c r="J179" s="83"/>
      <c r="K179" s="137" t="s">
        <v>1078</v>
      </c>
      <c r="L179" s="135" t="s">
        <v>718</v>
      </c>
      <c r="M179" s="135" t="s">
        <v>718</v>
      </c>
      <c r="N179" s="83"/>
      <c r="O179" s="83" t="s">
        <v>1491</v>
      </c>
      <c r="P179" s="83" t="s">
        <v>243</v>
      </c>
      <c r="Q179" s="83">
        <v>2025</v>
      </c>
    </row>
    <row r="180" spans="1:17" ht="15" x14ac:dyDescent="0.2">
      <c r="A180" s="83"/>
      <c r="B180" s="83" t="s">
        <v>264</v>
      </c>
      <c r="C180" s="133" t="s">
        <v>291</v>
      </c>
      <c r="D180" s="134" t="s">
        <v>263</v>
      </c>
      <c r="E180" s="83" t="s">
        <v>264</v>
      </c>
      <c r="F180" s="83" t="s">
        <v>265</v>
      </c>
      <c r="G180" s="135" t="s">
        <v>266</v>
      </c>
      <c r="H180" s="83" t="s">
        <v>267</v>
      </c>
      <c r="I180" s="135" t="s">
        <v>719</v>
      </c>
      <c r="J180" s="83"/>
      <c r="K180" s="137" t="s">
        <v>1079</v>
      </c>
      <c r="L180" s="135" t="s">
        <v>719</v>
      </c>
      <c r="M180" s="135" t="s">
        <v>719</v>
      </c>
      <c r="N180" s="83"/>
      <c r="O180" s="83" t="s">
        <v>1490</v>
      </c>
      <c r="P180" s="83" t="s">
        <v>243</v>
      </c>
      <c r="Q180" s="83">
        <v>2025</v>
      </c>
    </row>
    <row r="181" spans="1:17" ht="15" x14ac:dyDescent="0.2">
      <c r="A181" s="83"/>
      <c r="B181" s="83" t="s">
        <v>264</v>
      </c>
      <c r="C181" s="133" t="s">
        <v>292</v>
      </c>
      <c r="D181" s="134" t="s">
        <v>263</v>
      </c>
      <c r="E181" s="83" t="s">
        <v>264</v>
      </c>
      <c r="F181" s="83" t="s">
        <v>265</v>
      </c>
      <c r="G181" s="135" t="s">
        <v>271</v>
      </c>
      <c r="H181" s="83" t="s">
        <v>267</v>
      </c>
      <c r="I181" s="135" t="s">
        <v>720</v>
      </c>
      <c r="J181" s="83"/>
      <c r="K181" s="137" t="s">
        <v>1080</v>
      </c>
      <c r="L181" s="135" t="s">
        <v>720</v>
      </c>
      <c r="M181" s="135" t="s">
        <v>720</v>
      </c>
      <c r="N181" s="83"/>
      <c r="O181" s="83" t="s">
        <v>1491</v>
      </c>
      <c r="P181" s="83" t="s">
        <v>243</v>
      </c>
      <c r="Q181" s="83">
        <v>2025</v>
      </c>
    </row>
    <row r="182" spans="1:17" ht="15" x14ac:dyDescent="0.2">
      <c r="A182" s="83"/>
      <c r="B182" s="83" t="s">
        <v>264</v>
      </c>
      <c r="C182" s="133" t="s">
        <v>293</v>
      </c>
      <c r="D182" s="134" t="s">
        <v>263</v>
      </c>
      <c r="E182" s="83" t="s">
        <v>264</v>
      </c>
      <c r="F182" s="83" t="s">
        <v>265</v>
      </c>
      <c r="G182" s="135" t="s">
        <v>268</v>
      </c>
      <c r="H182" s="83" t="s">
        <v>267</v>
      </c>
      <c r="I182" s="135" t="s">
        <v>721</v>
      </c>
      <c r="J182" s="83"/>
      <c r="K182" s="137" t="s">
        <v>1081</v>
      </c>
      <c r="L182" s="135" t="s">
        <v>721</v>
      </c>
      <c r="M182" s="135" t="s">
        <v>721</v>
      </c>
      <c r="N182" s="83"/>
      <c r="O182" s="83" t="s">
        <v>1491</v>
      </c>
      <c r="P182" s="83" t="s">
        <v>243</v>
      </c>
      <c r="Q182" s="83">
        <v>2025</v>
      </c>
    </row>
    <row r="183" spans="1:17" ht="15" x14ac:dyDescent="0.2">
      <c r="A183" s="83"/>
      <c r="B183" s="83" t="s">
        <v>264</v>
      </c>
      <c r="C183" s="133" t="s">
        <v>294</v>
      </c>
      <c r="D183" s="134" t="s">
        <v>263</v>
      </c>
      <c r="E183" s="83" t="s">
        <v>264</v>
      </c>
      <c r="F183" s="83" t="s">
        <v>265</v>
      </c>
      <c r="G183" s="135" t="s">
        <v>271</v>
      </c>
      <c r="H183" s="83" t="s">
        <v>267</v>
      </c>
      <c r="I183" s="135" t="s">
        <v>722</v>
      </c>
      <c r="J183" s="83"/>
      <c r="K183" s="137" t="s">
        <v>1082</v>
      </c>
      <c r="L183" s="135" t="s">
        <v>722</v>
      </c>
      <c r="M183" s="135" t="s">
        <v>722</v>
      </c>
      <c r="N183" s="83"/>
      <c r="O183" s="83" t="s">
        <v>1491</v>
      </c>
      <c r="P183" s="83" t="s">
        <v>243</v>
      </c>
      <c r="Q183" s="83">
        <v>2025</v>
      </c>
    </row>
    <row r="184" spans="1:17" ht="15" x14ac:dyDescent="0.2">
      <c r="A184" s="83"/>
      <c r="B184" s="83" t="s">
        <v>264</v>
      </c>
      <c r="C184" s="133" t="s">
        <v>295</v>
      </c>
      <c r="D184" s="134" t="s">
        <v>263</v>
      </c>
      <c r="E184" s="83" t="s">
        <v>264</v>
      </c>
      <c r="F184" s="83" t="s">
        <v>265</v>
      </c>
      <c r="G184" s="135" t="s">
        <v>271</v>
      </c>
      <c r="H184" s="83" t="s">
        <v>267</v>
      </c>
      <c r="I184" s="135" t="s">
        <v>723</v>
      </c>
      <c r="J184" s="83"/>
      <c r="K184" s="137" t="s">
        <v>1083</v>
      </c>
      <c r="L184" s="135" t="s">
        <v>723</v>
      </c>
      <c r="M184" s="135" t="s">
        <v>723</v>
      </c>
      <c r="N184" s="83"/>
      <c r="O184" s="83" t="s">
        <v>1491</v>
      </c>
      <c r="P184" s="83" t="s">
        <v>243</v>
      </c>
      <c r="Q184" s="83">
        <v>2025</v>
      </c>
    </row>
    <row r="185" spans="1:17" ht="15" x14ac:dyDescent="0.2">
      <c r="A185" s="83"/>
      <c r="B185" s="83" t="s">
        <v>264</v>
      </c>
      <c r="C185" s="133" t="s">
        <v>296</v>
      </c>
      <c r="D185" s="134" t="s">
        <v>263</v>
      </c>
      <c r="E185" s="83" t="s">
        <v>264</v>
      </c>
      <c r="F185" s="83" t="s">
        <v>265</v>
      </c>
      <c r="G185" s="135" t="s">
        <v>266</v>
      </c>
      <c r="H185" s="83" t="s">
        <v>267</v>
      </c>
      <c r="I185" s="135" t="s">
        <v>724</v>
      </c>
      <c r="J185" s="83"/>
      <c r="K185" s="137" t="s">
        <v>1084</v>
      </c>
      <c r="L185" s="135" t="s">
        <v>724</v>
      </c>
      <c r="M185" s="135" t="s">
        <v>724</v>
      </c>
      <c r="N185" s="83"/>
      <c r="O185" s="83" t="s">
        <v>1490</v>
      </c>
      <c r="P185" s="83" t="s">
        <v>243</v>
      </c>
      <c r="Q185" s="83">
        <v>2025</v>
      </c>
    </row>
    <row r="186" spans="1:17" ht="15" x14ac:dyDescent="0.2">
      <c r="A186" s="83"/>
      <c r="B186" s="83" t="s">
        <v>264</v>
      </c>
      <c r="C186" s="133" t="s">
        <v>297</v>
      </c>
      <c r="D186" s="134" t="s">
        <v>263</v>
      </c>
      <c r="E186" s="83" t="s">
        <v>264</v>
      </c>
      <c r="F186" s="83" t="s">
        <v>265</v>
      </c>
      <c r="G186" s="135" t="s">
        <v>271</v>
      </c>
      <c r="H186" s="83" t="s">
        <v>267</v>
      </c>
      <c r="I186" s="135" t="s">
        <v>725</v>
      </c>
      <c r="J186" s="83"/>
      <c r="K186" s="137" t="s">
        <v>1085</v>
      </c>
      <c r="L186" s="135" t="s">
        <v>725</v>
      </c>
      <c r="M186" s="135" t="s">
        <v>725</v>
      </c>
      <c r="N186" s="83"/>
      <c r="O186" s="83" t="s">
        <v>1491</v>
      </c>
      <c r="P186" s="83" t="s">
        <v>243</v>
      </c>
      <c r="Q186" s="83">
        <v>2025</v>
      </c>
    </row>
    <row r="187" spans="1:17" ht="15" x14ac:dyDescent="0.2">
      <c r="A187" s="83"/>
      <c r="B187" s="83" t="s">
        <v>264</v>
      </c>
      <c r="C187" s="133" t="s">
        <v>298</v>
      </c>
      <c r="D187" s="134" t="s">
        <v>263</v>
      </c>
      <c r="E187" s="83" t="s">
        <v>264</v>
      </c>
      <c r="F187" s="83" t="s">
        <v>265</v>
      </c>
      <c r="G187" s="135" t="s">
        <v>269</v>
      </c>
      <c r="H187" s="83" t="s">
        <v>267</v>
      </c>
      <c r="I187" s="135" t="s">
        <v>726</v>
      </c>
      <c r="J187" s="83"/>
      <c r="K187" s="137" t="s">
        <v>1086</v>
      </c>
      <c r="L187" s="135" t="s">
        <v>726</v>
      </c>
      <c r="M187" s="135" t="s">
        <v>726</v>
      </c>
      <c r="N187" s="83"/>
      <c r="O187" s="83" t="s">
        <v>1490</v>
      </c>
      <c r="P187" s="83" t="s">
        <v>243</v>
      </c>
      <c r="Q187" s="83">
        <v>2025</v>
      </c>
    </row>
    <row r="188" spans="1:17" ht="15" x14ac:dyDescent="0.2">
      <c r="A188" s="83"/>
      <c r="B188" s="83" t="s">
        <v>264</v>
      </c>
      <c r="C188" s="133" t="s">
        <v>299</v>
      </c>
      <c r="D188" s="134" t="s">
        <v>263</v>
      </c>
      <c r="E188" s="83" t="s">
        <v>264</v>
      </c>
      <c r="F188" s="83" t="s">
        <v>265</v>
      </c>
      <c r="G188" s="135" t="s">
        <v>271</v>
      </c>
      <c r="H188" s="83" t="s">
        <v>267</v>
      </c>
      <c r="I188" s="135" t="s">
        <v>727</v>
      </c>
      <c r="J188" s="83"/>
      <c r="K188" s="137" t="s">
        <v>1087</v>
      </c>
      <c r="L188" s="135" t="s">
        <v>727</v>
      </c>
      <c r="M188" s="135" t="s">
        <v>727</v>
      </c>
      <c r="N188" s="83"/>
      <c r="O188" s="83" t="s">
        <v>1491</v>
      </c>
      <c r="P188" s="83" t="s">
        <v>243</v>
      </c>
      <c r="Q188" s="83">
        <v>2025</v>
      </c>
    </row>
    <row r="189" spans="1:17" ht="15" x14ac:dyDescent="0.2">
      <c r="A189" s="83"/>
      <c r="B189" s="83" t="s">
        <v>264</v>
      </c>
      <c r="C189" s="133" t="s">
        <v>300</v>
      </c>
      <c r="D189" s="134" t="s">
        <v>263</v>
      </c>
      <c r="E189" s="83" t="s">
        <v>264</v>
      </c>
      <c r="F189" s="83" t="s">
        <v>265</v>
      </c>
      <c r="G189" s="135" t="s">
        <v>268</v>
      </c>
      <c r="H189" s="83" t="s">
        <v>267</v>
      </c>
      <c r="I189" s="135" t="s">
        <v>728</v>
      </c>
      <c r="J189" s="83"/>
      <c r="K189" s="137" t="s">
        <v>1088</v>
      </c>
      <c r="L189" s="135" t="s">
        <v>728</v>
      </c>
      <c r="M189" s="135" t="s">
        <v>728</v>
      </c>
      <c r="N189" s="83"/>
      <c r="O189" s="83" t="s">
        <v>1491</v>
      </c>
      <c r="P189" s="83" t="s">
        <v>243</v>
      </c>
      <c r="Q189" s="83">
        <v>2025</v>
      </c>
    </row>
    <row r="190" spans="1:17" ht="15" x14ac:dyDescent="0.2">
      <c r="A190" s="83"/>
      <c r="B190" s="83" t="s">
        <v>264</v>
      </c>
      <c r="C190" s="133" t="s">
        <v>301</v>
      </c>
      <c r="D190" s="134" t="s">
        <v>263</v>
      </c>
      <c r="E190" s="83" t="s">
        <v>264</v>
      </c>
      <c r="F190" s="83" t="s">
        <v>265</v>
      </c>
      <c r="G190" s="135" t="s">
        <v>266</v>
      </c>
      <c r="H190" s="83" t="s">
        <v>267</v>
      </c>
      <c r="I190" s="135" t="s">
        <v>729</v>
      </c>
      <c r="J190" s="83"/>
      <c r="K190" s="137" t="s">
        <v>1089</v>
      </c>
      <c r="L190" s="135" t="s">
        <v>729</v>
      </c>
      <c r="M190" s="135" t="s">
        <v>729</v>
      </c>
      <c r="N190" s="83"/>
      <c r="O190" s="83" t="s">
        <v>1490</v>
      </c>
      <c r="P190" s="83" t="s">
        <v>243</v>
      </c>
      <c r="Q190" s="83">
        <v>2025</v>
      </c>
    </row>
    <row r="191" spans="1:17" ht="15" x14ac:dyDescent="0.2">
      <c r="A191" s="83"/>
      <c r="B191" s="83" t="s">
        <v>264</v>
      </c>
      <c r="C191" s="133" t="s">
        <v>302</v>
      </c>
      <c r="D191" s="134" t="s">
        <v>263</v>
      </c>
      <c r="E191" s="83" t="s">
        <v>264</v>
      </c>
      <c r="F191" s="83" t="s">
        <v>265</v>
      </c>
      <c r="G191" s="135" t="s">
        <v>266</v>
      </c>
      <c r="H191" s="83" t="s">
        <v>267</v>
      </c>
      <c r="I191" s="135" t="s">
        <v>730</v>
      </c>
      <c r="J191" s="83"/>
      <c r="K191" s="137" t="s">
        <v>1090</v>
      </c>
      <c r="L191" s="135" t="s">
        <v>730</v>
      </c>
      <c r="M191" s="135" t="s">
        <v>730</v>
      </c>
      <c r="N191" s="83"/>
      <c r="O191" s="83" t="s">
        <v>1490</v>
      </c>
      <c r="P191" s="83" t="s">
        <v>243</v>
      </c>
      <c r="Q191" s="83">
        <v>2025</v>
      </c>
    </row>
    <row r="192" spans="1:17" ht="15" x14ac:dyDescent="0.2">
      <c r="A192" s="83"/>
      <c r="B192" s="83" t="s">
        <v>264</v>
      </c>
      <c r="C192" s="133" t="s">
        <v>303</v>
      </c>
      <c r="D192" s="134" t="s">
        <v>263</v>
      </c>
      <c r="E192" s="83" t="s">
        <v>264</v>
      </c>
      <c r="F192" s="83" t="s">
        <v>265</v>
      </c>
      <c r="G192" s="135" t="s">
        <v>268</v>
      </c>
      <c r="H192" s="83" t="s">
        <v>267</v>
      </c>
      <c r="I192" s="135" t="s">
        <v>731</v>
      </c>
      <c r="J192" s="83"/>
      <c r="K192" s="137" t="s">
        <v>1091</v>
      </c>
      <c r="L192" s="135" t="s">
        <v>731</v>
      </c>
      <c r="M192" s="135" t="s">
        <v>731</v>
      </c>
      <c r="N192" s="83"/>
      <c r="O192" s="83" t="s">
        <v>1491</v>
      </c>
      <c r="P192" s="83" t="s">
        <v>243</v>
      </c>
      <c r="Q192" s="83">
        <v>2025</v>
      </c>
    </row>
    <row r="193" spans="1:17" ht="15" x14ac:dyDescent="0.2">
      <c r="A193" s="83"/>
      <c r="B193" s="83" t="s">
        <v>264</v>
      </c>
      <c r="C193" s="133" t="s">
        <v>304</v>
      </c>
      <c r="D193" s="134" t="s">
        <v>263</v>
      </c>
      <c r="E193" s="83" t="s">
        <v>264</v>
      </c>
      <c r="F193" s="83" t="s">
        <v>265</v>
      </c>
      <c r="G193" s="135" t="s">
        <v>268</v>
      </c>
      <c r="H193" s="83" t="s">
        <v>267</v>
      </c>
      <c r="I193" s="135" t="s">
        <v>732</v>
      </c>
      <c r="J193" s="83"/>
      <c r="K193" s="137" t="s">
        <v>1092</v>
      </c>
      <c r="L193" s="135" t="s">
        <v>732</v>
      </c>
      <c r="M193" s="135" t="s">
        <v>732</v>
      </c>
      <c r="N193" s="83"/>
      <c r="O193" s="83" t="s">
        <v>1491</v>
      </c>
      <c r="P193" s="83" t="s">
        <v>243</v>
      </c>
      <c r="Q193" s="83">
        <v>2025</v>
      </c>
    </row>
    <row r="194" spans="1:17" ht="15" x14ac:dyDescent="0.2">
      <c r="A194" s="83"/>
      <c r="B194" s="83" t="s">
        <v>264</v>
      </c>
      <c r="C194" s="133" t="s">
        <v>305</v>
      </c>
      <c r="D194" s="134" t="s">
        <v>263</v>
      </c>
      <c r="E194" s="83" t="s">
        <v>264</v>
      </c>
      <c r="F194" s="83" t="s">
        <v>265</v>
      </c>
      <c r="G194" s="135" t="s">
        <v>269</v>
      </c>
      <c r="H194" s="83" t="s">
        <v>267</v>
      </c>
      <c r="I194" s="135" t="s">
        <v>733</v>
      </c>
      <c r="J194" s="83"/>
      <c r="K194" s="137" t="s">
        <v>1093</v>
      </c>
      <c r="L194" s="135" t="s">
        <v>733</v>
      </c>
      <c r="M194" s="135" t="s">
        <v>733</v>
      </c>
      <c r="N194" s="83"/>
      <c r="O194" s="83" t="s">
        <v>1490</v>
      </c>
      <c r="P194" s="83" t="s">
        <v>243</v>
      </c>
      <c r="Q194" s="83">
        <v>2025</v>
      </c>
    </row>
    <row r="195" spans="1:17" ht="15" x14ac:dyDescent="0.2">
      <c r="A195" s="83"/>
      <c r="B195" s="83" t="s">
        <v>264</v>
      </c>
      <c r="C195" s="133" t="s">
        <v>306</v>
      </c>
      <c r="D195" s="134" t="s">
        <v>263</v>
      </c>
      <c r="E195" s="83" t="s">
        <v>264</v>
      </c>
      <c r="F195" s="83" t="s">
        <v>265</v>
      </c>
      <c r="G195" s="135" t="s">
        <v>272</v>
      </c>
      <c r="H195" s="83" t="s">
        <v>267</v>
      </c>
      <c r="I195" s="135" t="s">
        <v>734</v>
      </c>
      <c r="J195" s="83"/>
      <c r="K195" s="137" t="s">
        <v>1094</v>
      </c>
      <c r="L195" s="135" t="s">
        <v>734</v>
      </c>
      <c r="M195" s="135" t="s">
        <v>734</v>
      </c>
      <c r="N195" s="83"/>
      <c r="O195" s="83" t="s">
        <v>1491</v>
      </c>
      <c r="P195" s="83" t="s">
        <v>243</v>
      </c>
      <c r="Q195" s="83">
        <v>2025</v>
      </c>
    </row>
    <row r="196" spans="1:17" ht="15" x14ac:dyDescent="0.2">
      <c r="A196" s="83"/>
      <c r="B196" s="83" t="s">
        <v>264</v>
      </c>
      <c r="C196" s="133" t="s">
        <v>307</v>
      </c>
      <c r="D196" s="134" t="s">
        <v>263</v>
      </c>
      <c r="E196" s="83" t="s">
        <v>264</v>
      </c>
      <c r="F196" s="83" t="s">
        <v>265</v>
      </c>
      <c r="G196" s="135" t="s">
        <v>266</v>
      </c>
      <c r="H196" s="83" t="s">
        <v>267</v>
      </c>
      <c r="I196" s="135" t="s">
        <v>735</v>
      </c>
      <c r="J196" s="83"/>
      <c r="K196" s="137" t="s">
        <v>1095</v>
      </c>
      <c r="L196" s="135" t="s">
        <v>735</v>
      </c>
      <c r="M196" s="135" t="s">
        <v>735</v>
      </c>
      <c r="N196" s="83"/>
      <c r="O196" s="83" t="s">
        <v>1490</v>
      </c>
      <c r="P196" s="83" t="s">
        <v>243</v>
      </c>
      <c r="Q196" s="83">
        <v>2025</v>
      </c>
    </row>
    <row r="197" spans="1:17" ht="15" x14ac:dyDescent="0.2">
      <c r="A197" s="83"/>
      <c r="B197" s="83" t="s">
        <v>264</v>
      </c>
      <c r="C197" s="133" t="s">
        <v>308</v>
      </c>
      <c r="D197" s="134" t="s">
        <v>263</v>
      </c>
      <c r="E197" s="83" t="s">
        <v>264</v>
      </c>
      <c r="F197" s="83" t="s">
        <v>265</v>
      </c>
      <c r="G197" s="135" t="s">
        <v>268</v>
      </c>
      <c r="H197" s="83" t="s">
        <v>267</v>
      </c>
      <c r="I197" s="135" t="s">
        <v>736</v>
      </c>
      <c r="J197" s="83"/>
      <c r="K197" s="137" t="s">
        <v>1096</v>
      </c>
      <c r="L197" s="135" t="s">
        <v>736</v>
      </c>
      <c r="M197" s="135" t="s">
        <v>736</v>
      </c>
      <c r="N197" s="83"/>
      <c r="O197" s="83" t="s">
        <v>1491</v>
      </c>
      <c r="P197" s="83" t="s">
        <v>243</v>
      </c>
      <c r="Q197" s="83">
        <v>2025</v>
      </c>
    </row>
    <row r="198" spans="1:17" ht="15" x14ac:dyDescent="0.2">
      <c r="A198" s="83"/>
      <c r="B198" s="83" t="s">
        <v>264</v>
      </c>
      <c r="C198" s="133" t="s">
        <v>309</v>
      </c>
      <c r="D198" s="134" t="s">
        <v>263</v>
      </c>
      <c r="E198" s="83" t="s">
        <v>264</v>
      </c>
      <c r="F198" s="83" t="s">
        <v>265</v>
      </c>
      <c r="G198" s="135" t="s">
        <v>266</v>
      </c>
      <c r="H198" s="83" t="s">
        <v>267</v>
      </c>
      <c r="I198" s="135" t="s">
        <v>737</v>
      </c>
      <c r="J198" s="83"/>
      <c r="K198" s="137" t="s">
        <v>1097</v>
      </c>
      <c r="L198" s="135" t="s">
        <v>737</v>
      </c>
      <c r="M198" s="135" t="s">
        <v>737</v>
      </c>
      <c r="N198" s="83"/>
      <c r="O198" s="83" t="s">
        <v>1490</v>
      </c>
      <c r="P198" s="83" t="s">
        <v>243</v>
      </c>
      <c r="Q198" s="83">
        <v>2025</v>
      </c>
    </row>
    <row r="199" spans="1:17" ht="15" x14ac:dyDescent="0.2">
      <c r="A199" s="83"/>
      <c r="B199" s="83" t="s">
        <v>264</v>
      </c>
      <c r="C199" s="133" t="s">
        <v>310</v>
      </c>
      <c r="D199" s="134" t="s">
        <v>263</v>
      </c>
      <c r="E199" s="83" t="s">
        <v>264</v>
      </c>
      <c r="F199" s="83" t="s">
        <v>265</v>
      </c>
      <c r="G199" s="135" t="s">
        <v>266</v>
      </c>
      <c r="H199" s="83" t="s">
        <v>267</v>
      </c>
      <c r="I199" s="135" t="s">
        <v>738</v>
      </c>
      <c r="J199" s="83"/>
      <c r="K199" s="137" t="s">
        <v>1098</v>
      </c>
      <c r="L199" s="135" t="s">
        <v>738</v>
      </c>
      <c r="M199" s="135" t="s">
        <v>738</v>
      </c>
      <c r="N199" s="83"/>
      <c r="O199" s="83" t="s">
        <v>1490</v>
      </c>
      <c r="P199" s="83" t="s">
        <v>243</v>
      </c>
      <c r="Q199" s="83">
        <v>2025</v>
      </c>
    </row>
    <row r="200" spans="1:17" ht="15" x14ac:dyDescent="0.2">
      <c r="A200" s="83"/>
      <c r="B200" s="83" t="s">
        <v>264</v>
      </c>
      <c r="C200" s="133" t="s">
        <v>311</v>
      </c>
      <c r="D200" s="134" t="s">
        <v>263</v>
      </c>
      <c r="E200" s="83" t="s">
        <v>264</v>
      </c>
      <c r="F200" s="83" t="s">
        <v>265</v>
      </c>
      <c r="G200" s="135" t="s">
        <v>268</v>
      </c>
      <c r="H200" s="83" t="s">
        <v>267</v>
      </c>
      <c r="I200" s="135" t="s">
        <v>739</v>
      </c>
      <c r="J200" s="83"/>
      <c r="K200" s="137" t="s">
        <v>1099</v>
      </c>
      <c r="L200" s="135" t="s">
        <v>739</v>
      </c>
      <c r="M200" s="135" t="s">
        <v>739</v>
      </c>
      <c r="N200" s="83"/>
      <c r="O200" s="83" t="s">
        <v>1491</v>
      </c>
      <c r="P200" s="83" t="s">
        <v>243</v>
      </c>
      <c r="Q200" s="83">
        <v>2025</v>
      </c>
    </row>
    <row r="201" spans="1:17" ht="15" x14ac:dyDescent="0.2">
      <c r="A201" s="83"/>
      <c r="B201" s="83" t="s">
        <v>264</v>
      </c>
      <c r="C201" s="133" t="s">
        <v>312</v>
      </c>
      <c r="D201" s="134" t="s">
        <v>263</v>
      </c>
      <c r="E201" s="83" t="s">
        <v>264</v>
      </c>
      <c r="F201" s="83" t="s">
        <v>265</v>
      </c>
      <c r="G201" s="135" t="s">
        <v>268</v>
      </c>
      <c r="H201" s="83" t="s">
        <v>267</v>
      </c>
      <c r="I201" s="135" t="s">
        <v>740</v>
      </c>
      <c r="J201" s="83"/>
      <c r="K201" s="137" t="s">
        <v>1100</v>
      </c>
      <c r="L201" s="135" t="s">
        <v>740</v>
      </c>
      <c r="M201" s="135" t="s">
        <v>740</v>
      </c>
      <c r="N201" s="83"/>
      <c r="O201" s="83" t="s">
        <v>1491</v>
      </c>
      <c r="P201" s="83" t="s">
        <v>243</v>
      </c>
      <c r="Q201" s="83">
        <v>2025</v>
      </c>
    </row>
    <row r="202" spans="1:17" ht="15" x14ac:dyDescent="0.2">
      <c r="A202" s="83"/>
      <c r="B202" s="83" t="s">
        <v>264</v>
      </c>
      <c r="C202" s="133" t="s">
        <v>313</v>
      </c>
      <c r="D202" s="134" t="s">
        <v>263</v>
      </c>
      <c r="E202" s="83" t="s">
        <v>264</v>
      </c>
      <c r="F202" s="83" t="s">
        <v>265</v>
      </c>
      <c r="G202" s="135" t="s">
        <v>268</v>
      </c>
      <c r="H202" s="83" t="s">
        <v>267</v>
      </c>
      <c r="I202" s="135" t="s">
        <v>741</v>
      </c>
      <c r="J202" s="83"/>
      <c r="K202" s="137" t="s">
        <v>1101</v>
      </c>
      <c r="L202" s="135" t="s">
        <v>741</v>
      </c>
      <c r="M202" s="135" t="s">
        <v>741</v>
      </c>
      <c r="N202" s="83"/>
      <c r="O202" s="83" t="s">
        <v>1491</v>
      </c>
      <c r="P202" s="83" t="s">
        <v>243</v>
      </c>
      <c r="Q202" s="83">
        <v>2025</v>
      </c>
    </row>
    <row r="203" spans="1:17" ht="15" x14ac:dyDescent="0.2">
      <c r="A203" s="83"/>
      <c r="B203" s="83" t="s">
        <v>264</v>
      </c>
      <c r="C203" s="133" t="s">
        <v>314</v>
      </c>
      <c r="D203" s="134" t="s">
        <v>263</v>
      </c>
      <c r="E203" s="83" t="s">
        <v>264</v>
      </c>
      <c r="F203" s="83" t="s">
        <v>265</v>
      </c>
      <c r="G203" s="135" t="s">
        <v>271</v>
      </c>
      <c r="H203" s="83" t="s">
        <v>267</v>
      </c>
      <c r="I203" s="135" t="s">
        <v>742</v>
      </c>
      <c r="J203" s="83"/>
      <c r="K203" s="137" t="s">
        <v>1102</v>
      </c>
      <c r="L203" s="135" t="s">
        <v>742</v>
      </c>
      <c r="M203" s="135" t="s">
        <v>742</v>
      </c>
      <c r="N203" s="83"/>
      <c r="O203" s="83" t="s">
        <v>1491</v>
      </c>
      <c r="P203" s="83" t="s">
        <v>243</v>
      </c>
      <c r="Q203" s="83">
        <v>2025</v>
      </c>
    </row>
    <row r="204" spans="1:17" ht="15" x14ac:dyDescent="0.2">
      <c r="A204" s="83"/>
      <c r="B204" s="83" t="s">
        <v>264</v>
      </c>
      <c r="C204" s="133" t="s">
        <v>315</v>
      </c>
      <c r="D204" s="134" t="s">
        <v>263</v>
      </c>
      <c r="E204" s="83" t="s">
        <v>264</v>
      </c>
      <c r="F204" s="83" t="s">
        <v>265</v>
      </c>
      <c r="G204" s="135" t="s">
        <v>271</v>
      </c>
      <c r="H204" s="83" t="s">
        <v>267</v>
      </c>
      <c r="I204" s="135" t="s">
        <v>743</v>
      </c>
      <c r="J204" s="83"/>
      <c r="K204" s="137" t="s">
        <v>1103</v>
      </c>
      <c r="L204" s="135" t="s">
        <v>743</v>
      </c>
      <c r="M204" s="135" t="s">
        <v>743</v>
      </c>
      <c r="N204" s="83"/>
      <c r="O204" s="83" t="s">
        <v>1491</v>
      </c>
      <c r="P204" s="83" t="s">
        <v>243</v>
      </c>
      <c r="Q204" s="83">
        <v>2025</v>
      </c>
    </row>
    <row r="205" spans="1:17" ht="15" x14ac:dyDescent="0.2">
      <c r="A205" s="83"/>
      <c r="B205" s="83" t="s">
        <v>264</v>
      </c>
      <c r="C205" s="133" t="s">
        <v>316</v>
      </c>
      <c r="D205" s="134" t="s">
        <v>263</v>
      </c>
      <c r="E205" s="83" t="s">
        <v>264</v>
      </c>
      <c r="F205" s="83" t="s">
        <v>265</v>
      </c>
      <c r="G205" s="135" t="s">
        <v>268</v>
      </c>
      <c r="H205" s="83" t="s">
        <v>267</v>
      </c>
      <c r="I205" s="135" t="s">
        <v>744</v>
      </c>
      <c r="J205" s="83"/>
      <c r="K205" s="137" t="s">
        <v>1104</v>
      </c>
      <c r="L205" s="135" t="s">
        <v>744</v>
      </c>
      <c r="M205" s="135" t="s">
        <v>744</v>
      </c>
      <c r="N205" s="83"/>
      <c r="O205" s="83" t="s">
        <v>1491</v>
      </c>
      <c r="P205" s="83" t="s">
        <v>243</v>
      </c>
      <c r="Q205" s="83">
        <v>2025</v>
      </c>
    </row>
    <row r="206" spans="1:17" ht="15" x14ac:dyDescent="0.2">
      <c r="A206" s="83"/>
      <c r="B206" s="83" t="s">
        <v>264</v>
      </c>
      <c r="C206" s="133" t="s">
        <v>317</v>
      </c>
      <c r="D206" s="134" t="s">
        <v>263</v>
      </c>
      <c r="E206" s="83" t="s">
        <v>264</v>
      </c>
      <c r="F206" s="83" t="s">
        <v>265</v>
      </c>
      <c r="G206" s="135" t="s">
        <v>268</v>
      </c>
      <c r="H206" s="83" t="s">
        <v>267</v>
      </c>
      <c r="I206" s="135" t="s">
        <v>745</v>
      </c>
      <c r="J206" s="83"/>
      <c r="K206" s="137" t="s">
        <v>1105</v>
      </c>
      <c r="L206" s="135" t="s">
        <v>745</v>
      </c>
      <c r="M206" s="135" t="s">
        <v>745</v>
      </c>
      <c r="N206" s="83"/>
      <c r="O206" s="83" t="s">
        <v>1491</v>
      </c>
      <c r="P206" s="83" t="s">
        <v>243</v>
      </c>
      <c r="Q206" s="83">
        <v>2025</v>
      </c>
    </row>
    <row r="207" spans="1:17" ht="15" x14ac:dyDescent="0.2">
      <c r="A207" s="83"/>
      <c r="B207" s="83" t="s">
        <v>264</v>
      </c>
      <c r="C207" s="133" t="s">
        <v>318</v>
      </c>
      <c r="D207" s="134" t="s">
        <v>263</v>
      </c>
      <c r="E207" s="83" t="s">
        <v>264</v>
      </c>
      <c r="F207" s="83" t="s">
        <v>265</v>
      </c>
      <c r="G207" s="135" t="s">
        <v>268</v>
      </c>
      <c r="H207" s="83" t="s">
        <v>267</v>
      </c>
      <c r="I207" s="135" t="s">
        <v>746</v>
      </c>
      <c r="J207" s="83"/>
      <c r="K207" s="137" t="s">
        <v>1106</v>
      </c>
      <c r="L207" s="135" t="s">
        <v>746</v>
      </c>
      <c r="M207" s="135" t="s">
        <v>746</v>
      </c>
      <c r="N207" s="83"/>
      <c r="O207" s="83" t="s">
        <v>1491</v>
      </c>
      <c r="P207" s="83" t="s">
        <v>243</v>
      </c>
      <c r="Q207" s="83">
        <v>2025</v>
      </c>
    </row>
    <row r="208" spans="1:17" ht="15" x14ac:dyDescent="0.2">
      <c r="A208" s="83"/>
      <c r="B208" s="83" t="s">
        <v>264</v>
      </c>
      <c r="C208" s="133" t="s">
        <v>319</v>
      </c>
      <c r="D208" s="134" t="s">
        <v>263</v>
      </c>
      <c r="E208" s="83" t="s">
        <v>264</v>
      </c>
      <c r="F208" s="83" t="s">
        <v>265</v>
      </c>
      <c r="G208" s="135" t="s">
        <v>268</v>
      </c>
      <c r="H208" s="83" t="s">
        <v>267</v>
      </c>
      <c r="I208" s="135" t="s">
        <v>747</v>
      </c>
      <c r="J208" s="83"/>
      <c r="K208" s="137" t="s">
        <v>1107</v>
      </c>
      <c r="L208" s="135" t="s">
        <v>747</v>
      </c>
      <c r="M208" s="135" t="s">
        <v>747</v>
      </c>
      <c r="N208" s="83"/>
      <c r="O208" s="83" t="s">
        <v>1491</v>
      </c>
      <c r="P208" s="83" t="s">
        <v>243</v>
      </c>
      <c r="Q208" s="83">
        <v>2025</v>
      </c>
    </row>
    <row r="209" spans="1:17" ht="15" x14ac:dyDescent="0.2">
      <c r="A209" s="83"/>
      <c r="B209" s="83" t="s">
        <v>264</v>
      </c>
      <c r="C209" s="133" t="s">
        <v>320</v>
      </c>
      <c r="D209" s="134" t="s">
        <v>263</v>
      </c>
      <c r="E209" s="83" t="s">
        <v>264</v>
      </c>
      <c r="F209" s="83" t="s">
        <v>265</v>
      </c>
      <c r="G209" s="135" t="s">
        <v>268</v>
      </c>
      <c r="H209" s="83" t="s">
        <v>267</v>
      </c>
      <c r="I209" s="135" t="s">
        <v>748</v>
      </c>
      <c r="J209" s="83"/>
      <c r="K209" s="137" t="s">
        <v>1108</v>
      </c>
      <c r="L209" s="135" t="s">
        <v>748</v>
      </c>
      <c r="M209" s="135" t="s">
        <v>748</v>
      </c>
      <c r="N209" s="83"/>
      <c r="O209" s="83" t="s">
        <v>1491</v>
      </c>
      <c r="P209" s="83" t="s">
        <v>243</v>
      </c>
      <c r="Q209" s="83">
        <v>2025</v>
      </c>
    </row>
    <row r="210" spans="1:17" ht="15" x14ac:dyDescent="0.2">
      <c r="A210" s="83"/>
      <c r="B210" s="83" t="s">
        <v>264</v>
      </c>
      <c r="C210" s="133" t="s">
        <v>321</v>
      </c>
      <c r="D210" s="134" t="s">
        <v>263</v>
      </c>
      <c r="E210" s="83" t="s">
        <v>264</v>
      </c>
      <c r="F210" s="83" t="s">
        <v>265</v>
      </c>
      <c r="G210" s="135" t="s">
        <v>269</v>
      </c>
      <c r="H210" s="83" t="s">
        <v>267</v>
      </c>
      <c r="I210" s="135" t="s">
        <v>749</v>
      </c>
      <c r="J210" s="83"/>
      <c r="K210" s="137" t="s">
        <v>1109</v>
      </c>
      <c r="L210" s="135" t="s">
        <v>749</v>
      </c>
      <c r="M210" s="135" t="s">
        <v>749</v>
      </c>
      <c r="N210" s="83"/>
      <c r="O210" s="83" t="s">
        <v>1490</v>
      </c>
      <c r="P210" s="83" t="s">
        <v>243</v>
      </c>
      <c r="Q210" s="83">
        <v>2025</v>
      </c>
    </row>
    <row r="211" spans="1:17" ht="15" x14ac:dyDescent="0.2">
      <c r="A211" s="83"/>
      <c r="B211" s="83" t="s">
        <v>264</v>
      </c>
      <c r="C211" s="133" t="s">
        <v>322</v>
      </c>
      <c r="D211" s="134" t="s">
        <v>263</v>
      </c>
      <c r="E211" s="83" t="s">
        <v>264</v>
      </c>
      <c r="F211" s="83" t="s">
        <v>265</v>
      </c>
      <c r="G211" s="135" t="s">
        <v>266</v>
      </c>
      <c r="H211" s="83" t="s">
        <v>267</v>
      </c>
      <c r="I211" s="135" t="s">
        <v>750</v>
      </c>
      <c r="J211" s="83"/>
      <c r="K211" s="137" t="s">
        <v>1110</v>
      </c>
      <c r="L211" s="135" t="s">
        <v>750</v>
      </c>
      <c r="M211" s="135" t="s">
        <v>750</v>
      </c>
      <c r="N211" s="83"/>
      <c r="O211" s="83" t="s">
        <v>1490</v>
      </c>
      <c r="P211" s="83" t="s">
        <v>243</v>
      </c>
      <c r="Q211" s="83">
        <v>2025</v>
      </c>
    </row>
    <row r="212" spans="1:17" ht="15" x14ac:dyDescent="0.2">
      <c r="A212" s="83"/>
      <c r="B212" s="83" t="s">
        <v>264</v>
      </c>
      <c r="C212" s="133" t="s">
        <v>323</v>
      </c>
      <c r="D212" s="134" t="s">
        <v>263</v>
      </c>
      <c r="E212" s="83" t="s">
        <v>264</v>
      </c>
      <c r="F212" s="83" t="s">
        <v>265</v>
      </c>
      <c r="G212" s="135" t="s">
        <v>266</v>
      </c>
      <c r="H212" s="83" t="s">
        <v>267</v>
      </c>
      <c r="I212" s="135" t="s">
        <v>751</v>
      </c>
      <c r="J212" s="83"/>
      <c r="K212" s="137" t="s">
        <v>1111</v>
      </c>
      <c r="L212" s="135" t="s">
        <v>751</v>
      </c>
      <c r="M212" s="135" t="s">
        <v>751</v>
      </c>
      <c r="N212" s="83"/>
      <c r="O212" s="83" t="s">
        <v>1490</v>
      </c>
      <c r="P212" s="83" t="s">
        <v>243</v>
      </c>
      <c r="Q212" s="83">
        <v>2025</v>
      </c>
    </row>
    <row r="213" spans="1:17" ht="15" x14ac:dyDescent="0.2">
      <c r="A213" s="83"/>
      <c r="B213" s="83" t="s">
        <v>264</v>
      </c>
      <c r="C213" s="133" t="s">
        <v>324</v>
      </c>
      <c r="D213" s="134" t="s">
        <v>263</v>
      </c>
      <c r="E213" s="83" t="s">
        <v>264</v>
      </c>
      <c r="F213" s="83" t="s">
        <v>265</v>
      </c>
      <c r="G213" s="135" t="s">
        <v>268</v>
      </c>
      <c r="H213" s="83" t="s">
        <v>267</v>
      </c>
      <c r="I213" s="135" t="s">
        <v>752</v>
      </c>
      <c r="J213" s="83"/>
      <c r="K213" s="137" t="s">
        <v>1112</v>
      </c>
      <c r="L213" s="135" t="s">
        <v>752</v>
      </c>
      <c r="M213" s="135" t="s">
        <v>752</v>
      </c>
      <c r="N213" s="83"/>
      <c r="O213" s="83" t="s">
        <v>1491</v>
      </c>
      <c r="P213" s="83" t="s">
        <v>243</v>
      </c>
      <c r="Q213" s="83">
        <v>2025</v>
      </c>
    </row>
    <row r="214" spans="1:17" ht="15" x14ac:dyDescent="0.2">
      <c r="A214" s="83"/>
      <c r="B214" s="83" t="s">
        <v>264</v>
      </c>
      <c r="C214" s="133" t="s">
        <v>325</v>
      </c>
      <c r="D214" s="134" t="s">
        <v>263</v>
      </c>
      <c r="E214" s="83" t="s">
        <v>264</v>
      </c>
      <c r="F214" s="83" t="s">
        <v>265</v>
      </c>
      <c r="G214" s="135" t="s">
        <v>266</v>
      </c>
      <c r="H214" s="83" t="s">
        <v>267</v>
      </c>
      <c r="I214" s="135" t="s">
        <v>753</v>
      </c>
      <c r="J214" s="83"/>
      <c r="K214" s="137" t="s">
        <v>1113</v>
      </c>
      <c r="L214" s="135" t="s">
        <v>753</v>
      </c>
      <c r="M214" s="135" t="s">
        <v>753</v>
      </c>
      <c r="N214" s="83"/>
      <c r="O214" s="83" t="s">
        <v>1490</v>
      </c>
      <c r="P214" s="83" t="s">
        <v>243</v>
      </c>
      <c r="Q214" s="83">
        <v>2025</v>
      </c>
    </row>
    <row r="215" spans="1:17" ht="15" x14ac:dyDescent="0.2">
      <c r="A215" s="83"/>
      <c r="B215" s="83" t="s">
        <v>264</v>
      </c>
      <c r="C215" s="133" t="s">
        <v>326</v>
      </c>
      <c r="D215" s="134" t="s">
        <v>263</v>
      </c>
      <c r="E215" s="83" t="s">
        <v>264</v>
      </c>
      <c r="F215" s="83" t="s">
        <v>265</v>
      </c>
      <c r="G215" s="135" t="s">
        <v>268</v>
      </c>
      <c r="H215" s="83" t="s">
        <v>267</v>
      </c>
      <c r="I215" s="135" t="s">
        <v>754</v>
      </c>
      <c r="J215" s="83"/>
      <c r="K215" s="137" t="s">
        <v>1114</v>
      </c>
      <c r="L215" s="135" t="s">
        <v>754</v>
      </c>
      <c r="M215" s="135" t="s">
        <v>754</v>
      </c>
      <c r="N215" s="83"/>
      <c r="O215" s="83" t="s">
        <v>1491</v>
      </c>
      <c r="P215" s="83" t="s">
        <v>243</v>
      </c>
      <c r="Q215" s="83">
        <v>2025</v>
      </c>
    </row>
    <row r="216" spans="1:17" ht="15" x14ac:dyDescent="0.2">
      <c r="A216" s="83"/>
      <c r="B216" s="83" t="s">
        <v>264</v>
      </c>
      <c r="C216" s="133" t="s">
        <v>327</v>
      </c>
      <c r="D216" s="134" t="s">
        <v>263</v>
      </c>
      <c r="E216" s="83" t="s">
        <v>264</v>
      </c>
      <c r="F216" s="83" t="s">
        <v>265</v>
      </c>
      <c r="G216" s="135" t="s">
        <v>266</v>
      </c>
      <c r="H216" s="83" t="s">
        <v>267</v>
      </c>
      <c r="I216" s="135" t="s">
        <v>755</v>
      </c>
      <c r="J216" s="83"/>
      <c r="K216" s="137" t="s">
        <v>1115</v>
      </c>
      <c r="L216" s="135" t="s">
        <v>755</v>
      </c>
      <c r="M216" s="135" t="s">
        <v>755</v>
      </c>
      <c r="N216" s="83"/>
      <c r="O216" s="83" t="s">
        <v>1490</v>
      </c>
      <c r="P216" s="83" t="s">
        <v>243</v>
      </c>
      <c r="Q216" s="83">
        <v>2025</v>
      </c>
    </row>
    <row r="217" spans="1:17" ht="15" x14ac:dyDescent="0.2">
      <c r="A217" s="83"/>
      <c r="B217" s="83" t="s">
        <v>264</v>
      </c>
      <c r="C217" s="133" t="s">
        <v>328</v>
      </c>
      <c r="D217" s="134" t="s">
        <v>263</v>
      </c>
      <c r="E217" s="83" t="s">
        <v>264</v>
      </c>
      <c r="F217" s="83" t="s">
        <v>265</v>
      </c>
      <c r="G217" s="135" t="s">
        <v>266</v>
      </c>
      <c r="H217" s="83" t="s">
        <v>267</v>
      </c>
      <c r="I217" s="135" t="s">
        <v>756</v>
      </c>
      <c r="J217" s="83"/>
      <c r="K217" s="137" t="s">
        <v>1116</v>
      </c>
      <c r="L217" s="135" t="s">
        <v>756</v>
      </c>
      <c r="M217" s="135" t="s">
        <v>756</v>
      </c>
      <c r="N217" s="83"/>
      <c r="O217" s="83" t="s">
        <v>1490</v>
      </c>
      <c r="P217" s="83" t="s">
        <v>243</v>
      </c>
      <c r="Q217" s="83">
        <v>2025</v>
      </c>
    </row>
    <row r="218" spans="1:17" ht="15" x14ac:dyDescent="0.2">
      <c r="A218" s="83"/>
      <c r="B218" s="83" t="s">
        <v>264</v>
      </c>
      <c r="C218" s="133" t="s">
        <v>329</v>
      </c>
      <c r="D218" s="134" t="s">
        <v>263</v>
      </c>
      <c r="E218" s="83" t="s">
        <v>264</v>
      </c>
      <c r="F218" s="83" t="s">
        <v>265</v>
      </c>
      <c r="G218" s="135" t="s">
        <v>268</v>
      </c>
      <c r="H218" s="83" t="s">
        <v>267</v>
      </c>
      <c r="I218" s="135" t="s">
        <v>757</v>
      </c>
      <c r="J218" s="83"/>
      <c r="K218" s="137" t="s">
        <v>1117</v>
      </c>
      <c r="L218" s="135" t="s">
        <v>757</v>
      </c>
      <c r="M218" s="135" t="s">
        <v>757</v>
      </c>
      <c r="N218" s="83"/>
      <c r="O218" s="83" t="s">
        <v>1491</v>
      </c>
      <c r="P218" s="83" t="s">
        <v>243</v>
      </c>
      <c r="Q218" s="83">
        <v>2025</v>
      </c>
    </row>
    <row r="219" spans="1:17" ht="15" x14ac:dyDescent="0.2">
      <c r="A219" s="83"/>
      <c r="B219" s="83" t="s">
        <v>264</v>
      </c>
      <c r="C219" s="133" t="s">
        <v>330</v>
      </c>
      <c r="D219" s="134" t="s">
        <v>263</v>
      </c>
      <c r="E219" s="83" t="s">
        <v>264</v>
      </c>
      <c r="F219" s="83" t="s">
        <v>265</v>
      </c>
      <c r="G219" s="135" t="s">
        <v>268</v>
      </c>
      <c r="H219" s="83" t="s">
        <v>267</v>
      </c>
      <c r="I219" s="135" t="s">
        <v>758</v>
      </c>
      <c r="J219" s="83"/>
      <c r="K219" s="137" t="s">
        <v>1118</v>
      </c>
      <c r="L219" s="135" t="s">
        <v>758</v>
      </c>
      <c r="M219" s="135" t="s">
        <v>758</v>
      </c>
      <c r="N219" s="83"/>
      <c r="O219" s="83" t="s">
        <v>1491</v>
      </c>
      <c r="P219" s="83" t="s">
        <v>243</v>
      </c>
      <c r="Q219" s="83">
        <v>2025</v>
      </c>
    </row>
    <row r="220" spans="1:17" ht="15" x14ac:dyDescent="0.2">
      <c r="A220" s="83"/>
      <c r="B220" s="83" t="s">
        <v>264</v>
      </c>
      <c r="C220" s="133" t="s">
        <v>331</v>
      </c>
      <c r="D220" s="134" t="s">
        <v>263</v>
      </c>
      <c r="E220" s="83" t="s">
        <v>264</v>
      </c>
      <c r="F220" s="83" t="s">
        <v>265</v>
      </c>
      <c r="G220" s="135" t="s">
        <v>268</v>
      </c>
      <c r="H220" s="83" t="s">
        <v>267</v>
      </c>
      <c r="I220" s="135" t="s">
        <v>759</v>
      </c>
      <c r="J220" s="83"/>
      <c r="K220" s="137" t="s">
        <v>1119</v>
      </c>
      <c r="L220" s="135" t="s">
        <v>759</v>
      </c>
      <c r="M220" s="135" t="s">
        <v>759</v>
      </c>
      <c r="N220" s="83"/>
      <c r="O220" s="83" t="s">
        <v>1491</v>
      </c>
      <c r="P220" s="83" t="s">
        <v>243</v>
      </c>
      <c r="Q220" s="83">
        <v>2025</v>
      </c>
    </row>
    <row r="221" spans="1:17" ht="15" x14ac:dyDescent="0.2">
      <c r="A221" s="83"/>
      <c r="B221" s="83" t="s">
        <v>264</v>
      </c>
      <c r="C221" s="133" t="s">
        <v>332</v>
      </c>
      <c r="D221" s="134" t="s">
        <v>263</v>
      </c>
      <c r="E221" s="83" t="s">
        <v>264</v>
      </c>
      <c r="F221" s="83" t="s">
        <v>265</v>
      </c>
      <c r="G221" s="135" t="s">
        <v>268</v>
      </c>
      <c r="H221" s="83" t="s">
        <v>267</v>
      </c>
      <c r="I221" s="135" t="s">
        <v>760</v>
      </c>
      <c r="J221" s="83"/>
      <c r="K221" s="137" t="s">
        <v>1120</v>
      </c>
      <c r="L221" s="135" t="s">
        <v>760</v>
      </c>
      <c r="M221" s="135" t="s">
        <v>760</v>
      </c>
      <c r="N221" s="83"/>
      <c r="O221" s="83" t="s">
        <v>1491</v>
      </c>
      <c r="P221" s="83" t="s">
        <v>243</v>
      </c>
      <c r="Q221" s="83">
        <v>2025</v>
      </c>
    </row>
    <row r="222" spans="1:17" ht="15" x14ac:dyDescent="0.2">
      <c r="A222" s="83"/>
      <c r="B222" s="83" t="s">
        <v>264</v>
      </c>
      <c r="C222" s="133" t="s">
        <v>333</v>
      </c>
      <c r="D222" s="134" t="s">
        <v>263</v>
      </c>
      <c r="E222" s="83" t="s">
        <v>264</v>
      </c>
      <c r="F222" s="83" t="s">
        <v>265</v>
      </c>
      <c r="G222" s="135" t="s">
        <v>271</v>
      </c>
      <c r="H222" s="83" t="s">
        <v>267</v>
      </c>
      <c r="I222" s="135" t="s">
        <v>761</v>
      </c>
      <c r="J222" s="83"/>
      <c r="K222" s="137" t="s">
        <v>1121</v>
      </c>
      <c r="L222" s="135" t="s">
        <v>761</v>
      </c>
      <c r="M222" s="135" t="s">
        <v>761</v>
      </c>
      <c r="N222" s="83"/>
      <c r="O222" s="83" t="s">
        <v>1491</v>
      </c>
      <c r="P222" s="83" t="s">
        <v>243</v>
      </c>
      <c r="Q222" s="83">
        <v>2025</v>
      </c>
    </row>
    <row r="223" spans="1:17" ht="15" x14ac:dyDescent="0.2">
      <c r="A223" s="83"/>
      <c r="B223" s="83" t="s">
        <v>264</v>
      </c>
      <c r="C223" s="133" t="s">
        <v>334</v>
      </c>
      <c r="D223" s="134" t="s">
        <v>263</v>
      </c>
      <c r="E223" s="83" t="s">
        <v>264</v>
      </c>
      <c r="F223" s="83" t="s">
        <v>265</v>
      </c>
      <c r="G223" s="135" t="s">
        <v>271</v>
      </c>
      <c r="H223" s="83" t="s">
        <v>267</v>
      </c>
      <c r="I223" s="135" t="s">
        <v>762</v>
      </c>
      <c r="J223" s="83"/>
      <c r="K223" s="137" t="s">
        <v>1122</v>
      </c>
      <c r="L223" s="135" t="s">
        <v>762</v>
      </c>
      <c r="M223" s="135" t="s">
        <v>762</v>
      </c>
      <c r="N223" s="83"/>
      <c r="O223" s="83" t="s">
        <v>1491</v>
      </c>
      <c r="P223" s="83" t="s">
        <v>243</v>
      </c>
      <c r="Q223" s="83">
        <v>2025</v>
      </c>
    </row>
    <row r="224" spans="1:17" ht="15" x14ac:dyDescent="0.2">
      <c r="A224" s="83"/>
      <c r="B224" s="83" t="s">
        <v>264</v>
      </c>
      <c r="C224" s="133" t="s">
        <v>335</v>
      </c>
      <c r="D224" s="134" t="s">
        <v>263</v>
      </c>
      <c r="E224" s="83" t="s">
        <v>264</v>
      </c>
      <c r="F224" s="83" t="s">
        <v>265</v>
      </c>
      <c r="G224" s="135" t="s">
        <v>266</v>
      </c>
      <c r="H224" s="83" t="s">
        <v>267</v>
      </c>
      <c r="I224" s="135" t="s">
        <v>763</v>
      </c>
      <c r="J224" s="83"/>
      <c r="K224" s="137" t="s">
        <v>1123</v>
      </c>
      <c r="L224" s="135" t="s">
        <v>763</v>
      </c>
      <c r="M224" s="135" t="s">
        <v>763</v>
      </c>
      <c r="N224" s="83"/>
      <c r="O224" s="83" t="s">
        <v>1490</v>
      </c>
      <c r="P224" s="83" t="s">
        <v>243</v>
      </c>
      <c r="Q224" s="83">
        <v>2025</v>
      </c>
    </row>
    <row r="225" spans="1:17" ht="15" x14ac:dyDescent="0.2">
      <c r="A225" s="83"/>
      <c r="B225" s="83" t="s">
        <v>264</v>
      </c>
      <c r="C225" s="133" t="s">
        <v>336</v>
      </c>
      <c r="D225" s="134" t="s">
        <v>263</v>
      </c>
      <c r="E225" s="83" t="s">
        <v>264</v>
      </c>
      <c r="F225" s="83" t="s">
        <v>265</v>
      </c>
      <c r="G225" s="135" t="s">
        <v>268</v>
      </c>
      <c r="H225" s="83" t="s">
        <v>267</v>
      </c>
      <c r="I225" s="135" t="s">
        <v>764</v>
      </c>
      <c r="J225" s="83"/>
      <c r="K225" s="137" t="s">
        <v>1124</v>
      </c>
      <c r="L225" s="135" t="s">
        <v>764</v>
      </c>
      <c r="M225" s="135" t="s">
        <v>764</v>
      </c>
      <c r="N225" s="83"/>
      <c r="O225" s="83" t="s">
        <v>1491</v>
      </c>
      <c r="P225" s="83" t="s">
        <v>243</v>
      </c>
      <c r="Q225" s="83">
        <v>2025</v>
      </c>
    </row>
    <row r="226" spans="1:17" ht="15" x14ac:dyDescent="0.2">
      <c r="A226" s="83"/>
      <c r="B226" s="83" t="s">
        <v>264</v>
      </c>
      <c r="C226" s="133" t="s">
        <v>337</v>
      </c>
      <c r="D226" s="134" t="s">
        <v>263</v>
      </c>
      <c r="E226" s="83" t="s">
        <v>264</v>
      </c>
      <c r="F226" s="83" t="s">
        <v>265</v>
      </c>
      <c r="G226" s="135" t="s">
        <v>268</v>
      </c>
      <c r="H226" s="83" t="s">
        <v>267</v>
      </c>
      <c r="I226" s="135" t="s">
        <v>765</v>
      </c>
      <c r="J226" s="83"/>
      <c r="K226" s="137" t="s">
        <v>1125</v>
      </c>
      <c r="L226" s="135" t="s">
        <v>765</v>
      </c>
      <c r="M226" s="135" t="s">
        <v>765</v>
      </c>
      <c r="N226" s="83"/>
      <c r="O226" s="83" t="s">
        <v>1491</v>
      </c>
      <c r="P226" s="83" t="s">
        <v>243</v>
      </c>
      <c r="Q226" s="83">
        <v>2025</v>
      </c>
    </row>
    <row r="227" spans="1:17" ht="15" x14ac:dyDescent="0.2">
      <c r="A227" s="83"/>
      <c r="B227" s="83" t="s">
        <v>264</v>
      </c>
      <c r="C227" s="133" t="s">
        <v>338</v>
      </c>
      <c r="D227" s="134" t="s">
        <v>263</v>
      </c>
      <c r="E227" s="83" t="s">
        <v>264</v>
      </c>
      <c r="F227" s="83" t="s">
        <v>265</v>
      </c>
      <c r="G227" s="135" t="s">
        <v>266</v>
      </c>
      <c r="H227" s="83" t="s">
        <v>267</v>
      </c>
      <c r="I227" s="135" t="s">
        <v>766</v>
      </c>
      <c r="J227" s="83"/>
      <c r="K227" s="137" t="s">
        <v>1126</v>
      </c>
      <c r="L227" s="135" t="s">
        <v>766</v>
      </c>
      <c r="M227" s="135" t="s">
        <v>766</v>
      </c>
      <c r="N227" s="83"/>
      <c r="O227" s="83" t="s">
        <v>1490</v>
      </c>
      <c r="P227" s="83" t="s">
        <v>243</v>
      </c>
      <c r="Q227" s="83">
        <v>2025</v>
      </c>
    </row>
    <row r="228" spans="1:17" ht="15" x14ac:dyDescent="0.2">
      <c r="A228" s="83"/>
      <c r="B228" s="83" t="s">
        <v>264</v>
      </c>
      <c r="C228" s="133" t="s">
        <v>339</v>
      </c>
      <c r="D228" s="134" t="s">
        <v>263</v>
      </c>
      <c r="E228" s="83" t="s">
        <v>264</v>
      </c>
      <c r="F228" s="83" t="s">
        <v>265</v>
      </c>
      <c r="G228" s="135" t="s">
        <v>266</v>
      </c>
      <c r="H228" s="83" t="s">
        <v>267</v>
      </c>
      <c r="I228" s="135" t="s">
        <v>767</v>
      </c>
      <c r="J228" s="83"/>
      <c r="K228" s="137" t="s">
        <v>1127</v>
      </c>
      <c r="L228" s="135" t="s">
        <v>767</v>
      </c>
      <c r="M228" s="135" t="s">
        <v>767</v>
      </c>
      <c r="N228" s="83"/>
      <c r="O228" s="83" t="s">
        <v>1490</v>
      </c>
      <c r="P228" s="83" t="s">
        <v>243</v>
      </c>
      <c r="Q228" s="83">
        <v>2025</v>
      </c>
    </row>
    <row r="229" spans="1:17" ht="15" x14ac:dyDescent="0.2">
      <c r="A229" s="83"/>
      <c r="B229" s="83" t="s">
        <v>264</v>
      </c>
      <c r="C229" s="133" t="s">
        <v>340</v>
      </c>
      <c r="D229" s="134" t="s">
        <v>263</v>
      </c>
      <c r="E229" s="83" t="s">
        <v>264</v>
      </c>
      <c r="F229" s="83" t="s">
        <v>265</v>
      </c>
      <c r="G229" s="135" t="s">
        <v>268</v>
      </c>
      <c r="H229" s="83" t="s">
        <v>267</v>
      </c>
      <c r="I229" s="135" t="s">
        <v>768</v>
      </c>
      <c r="J229" s="83"/>
      <c r="K229" s="137" t="s">
        <v>1128</v>
      </c>
      <c r="L229" s="135" t="s">
        <v>768</v>
      </c>
      <c r="M229" s="135" t="s">
        <v>768</v>
      </c>
      <c r="N229" s="83"/>
      <c r="O229" s="83" t="s">
        <v>1491</v>
      </c>
      <c r="P229" s="83" t="s">
        <v>243</v>
      </c>
      <c r="Q229" s="83">
        <v>2025</v>
      </c>
    </row>
    <row r="230" spans="1:17" ht="15" x14ac:dyDescent="0.2">
      <c r="A230" s="83"/>
      <c r="B230" s="83" t="s">
        <v>264</v>
      </c>
      <c r="C230" s="133" t="s">
        <v>341</v>
      </c>
      <c r="D230" s="134" t="s">
        <v>263</v>
      </c>
      <c r="E230" s="83" t="s">
        <v>264</v>
      </c>
      <c r="F230" s="83" t="s">
        <v>265</v>
      </c>
      <c r="G230" s="135" t="s">
        <v>269</v>
      </c>
      <c r="H230" s="83" t="s">
        <v>267</v>
      </c>
      <c r="I230" s="135" t="s">
        <v>769</v>
      </c>
      <c r="J230" s="83"/>
      <c r="K230" s="137" t="s">
        <v>1129</v>
      </c>
      <c r="L230" s="135" t="s">
        <v>769</v>
      </c>
      <c r="M230" s="135" t="s">
        <v>769</v>
      </c>
      <c r="N230" s="83"/>
      <c r="O230" s="83" t="s">
        <v>1490</v>
      </c>
      <c r="P230" s="83" t="s">
        <v>243</v>
      </c>
      <c r="Q230" s="83">
        <v>2025</v>
      </c>
    </row>
    <row r="231" spans="1:17" ht="15" x14ac:dyDescent="0.2">
      <c r="A231" s="83"/>
      <c r="B231" s="83" t="s">
        <v>264</v>
      </c>
      <c r="C231" s="133" t="s">
        <v>342</v>
      </c>
      <c r="D231" s="134" t="s">
        <v>263</v>
      </c>
      <c r="E231" s="83" t="s">
        <v>264</v>
      </c>
      <c r="F231" s="83" t="s">
        <v>265</v>
      </c>
      <c r="G231" s="135" t="s">
        <v>266</v>
      </c>
      <c r="H231" s="83" t="s">
        <v>267</v>
      </c>
      <c r="I231" s="135" t="s">
        <v>770</v>
      </c>
      <c r="J231" s="83"/>
      <c r="K231" s="137" t="s">
        <v>1130</v>
      </c>
      <c r="L231" s="135" t="s">
        <v>770</v>
      </c>
      <c r="M231" s="135" t="s">
        <v>770</v>
      </c>
      <c r="N231" s="83"/>
      <c r="O231" s="83" t="s">
        <v>1490</v>
      </c>
      <c r="P231" s="83" t="s">
        <v>243</v>
      </c>
      <c r="Q231" s="83">
        <v>2025</v>
      </c>
    </row>
    <row r="232" spans="1:17" ht="15" x14ac:dyDescent="0.2">
      <c r="A232" s="83"/>
      <c r="B232" s="83" t="s">
        <v>264</v>
      </c>
      <c r="C232" s="133" t="s">
        <v>343</v>
      </c>
      <c r="D232" s="134" t="s">
        <v>263</v>
      </c>
      <c r="E232" s="83" t="s">
        <v>264</v>
      </c>
      <c r="F232" s="83" t="s">
        <v>265</v>
      </c>
      <c r="G232" s="135" t="s">
        <v>266</v>
      </c>
      <c r="H232" s="83" t="s">
        <v>267</v>
      </c>
      <c r="I232" s="135" t="s">
        <v>771</v>
      </c>
      <c r="J232" s="83"/>
      <c r="K232" s="137" t="s">
        <v>1131</v>
      </c>
      <c r="L232" s="135" t="s">
        <v>771</v>
      </c>
      <c r="M232" s="135" t="s">
        <v>771</v>
      </c>
      <c r="N232" s="83"/>
      <c r="O232" s="83" t="s">
        <v>1490</v>
      </c>
      <c r="P232" s="83" t="s">
        <v>243</v>
      </c>
      <c r="Q232" s="83">
        <v>2025</v>
      </c>
    </row>
    <row r="233" spans="1:17" ht="15" x14ac:dyDescent="0.2">
      <c r="A233" s="83"/>
      <c r="B233" s="83" t="s">
        <v>264</v>
      </c>
      <c r="C233" s="133" t="s">
        <v>344</v>
      </c>
      <c r="D233" s="134" t="s">
        <v>263</v>
      </c>
      <c r="E233" s="83" t="s">
        <v>264</v>
      </c>
      <c r="F233" s="83" t="s">
        <v>265</v>
      </c>
      <c r="G233" s="135" t="s">
        <v>266</v>
      </c>
      <c r="H233" s="83" t="s">
        <v>267</v>
      </c>
      <c r="I233" s="135" t="s">
        <v>772</v>
      </c>
      <c r="J233" s="83"/>
      <c r="K233" s="137" t="s">
        <v>1132</v>
      </c>
      <c r="L233" s="135" t="s">
        <v>772</v>
      </c>
      <c r="M233" s="135" t="s">
        <v>772</v>
      </c>
      <c r="N233" s="83"/>
      <c r="O233" s="83" t="s">
        <v>1490</v>
      </c>
      <c r="P233" s="83" t="s">
        <v>243</v>
      </c>
      <c r="Q233" s="83">
        <v>2025</v>
      </c>
    </row>
    <row r="234" spans="1:17" ht="15" x14ac:dyDescent="0.2">
      <c r="A234" s="83"/>
      <c r="B234" s="83" t="s">
        <v>264</v>
      </c>
      <c r="C234" s="133" t="s">
        <v>345</v>
      </c>
      <c r="D234" s="134" t="s">
        <v>263</v>
      </c>
      <c r="E234" s="83" t="s">
        <v>264</v>
      </c>
      <c r="F234" s="83" t="s">
        <v>265</v>
      </c>
      <c r="G234" s="135" t="s">
        <v>268</v>
      </c>
      <c r="H234" s="83" t="s">
        <v>267</v>
      </c>
      <c r="I234" s="135" t="s">
        <v>773</v>
      </c>
      <c r="J234" s="83"/>
      <c r="K234" s="137" t="s">
        <v>1133</v>
      </c>
      <c r="L234" s="135" t="s">
        <v>773</v>
      </c>
      <c r="M234" s="135" t="s">
        <v>773</v>
      </c>
      <c r="N234" s="83"/>
      <c r="O234" s="83" t="s">
        <v>1491</v>
      </c>
      <c r="P234" s="83" t="s">
        <v>243</v>
      </c>
      <c r="Q234" s="83">
        <v>2025</v>
      </c>
    </row>
    <row r="235" spans="1:17" ht="15" x14ac:dyDescent="0.2">
      <c r="A235" s="83"/>
      <c r="B235" s="83" t="s">
        <v>264</v>
      </c>
      <c r="C235" s="133" t="s">
        <v>346</v>
      </c>
      <c r="D235" s="134" t="s">
        <v>263</v>
      </c>
      <c r="E235" s="83" t="s">
        <v>264</v>
      </c>
      <c r="F235" s="83" t="s">
        <v>265</v>
      </c>
      <c r="G235" s="135" t="s">
        <v>269</v>
      </c>
      <c r="H235" s="83" t="s">
        <v>267</v>
      </c>
      <c r="I235" s="135" t="s">
        <v>774</v>
      </c>
      <c r="K235" s="137" t="s">
        <v>1134</v>
      </c>
      <c r="L235" s="135" t="s">
        <v>774</v>
      </c>
      <c r="M235" s="135" t="s">
        <v>774</v>
      </c>
      <c r="O235" s="34" t="s">
        <v>1490</v>
      </c>
      <c r="P235" s="34" t="s">
        <v>243</v>
      </c>
      <c r="Q235" s="83">
        <v>2025</v>
      </c>
    </row>
    <row r="236" spans="1:17" ht="15" x14ac:dyDescent="0.2">
      <c r="A236" s="83"/>
      <c r="B236" s="83" t="s">
        <v>264</v>
      </c>
      <c r="C236" s="133" t="s">
        <v>347</v>
      </c>
      <c r="D236" s="134" t="s">
        <v>263</v>
      </c>
      <c r="E236" s="83" t="s">
        <v>264</v>
      </c>
      <c r="F236" s="83" t="s">
        <v>265</v>
      </c>
      <c r="G236" s="135" t="s">
        <v>268</v>
      </c>
      <c r="H236" s="83" t="s">
        <v>267</v>
      </c>
      <c r="I236" s="135" t="s">
        <v>775</v>
      </c>
      <c r="K236" s="137" t="s">
        <v>1135</v>
      </c>
      <c r="L236" s="135" t="s">
        <v>775</v>
      </c>
      <c r="M236" s="135" t="s">
        <v>775</v>
      </c>
      <c r="O236" s="34" t="s">
        <v>1491</v>
      </c>
      <c r="P236" s="34" t="s">
        <v>243</v>
      </c>
      <c r="Q236" s="83">
        <v>2025</v>
      </c>
    </row>
    <row r="237" spans="1:17" ht="15" x14ac:dyDescent="0.2">
      <c r="A237" s="83"/>
      <c r="B237" s="83" t="s">
        <v>264</v>
      </c>
      <c r="C237" s="133" t="s">
        <v>348</v>
      </c>
      <c r="D237" s="134" t="s">
        <v>263</v>
      </c>
      <c r="E237" s="83" t="s">
        <v>264</v>
      </c>
      <c r="F237" s="83" t="s">
        <v>265</v>
      </c>
      <c r="G237" s="135" t="s">
        <v>271</v>
      </c>
      <c r="H237" s="83" t="s">
        <v>267</v>
      </c>
      <c r="I237" s="135" t="s">
        <v>776</v>
      </c>
      <c r="K237" s="137" t="s">
        <v>1136</v>
      </c>
      <c r="L237" s="135" t="s">
        <v>776</v>
      </c>
      <c r="M237" s="135" t="s">
        <v>776</v>
      </c>
      <c r="O237" s="34" t="s">
        <v>1491</v>
      </c>
      <c r="P237" s="34" t="s">
        <v>243</v>
      </c>
      <c r="Q237" s="83">
        <v>2025</v>
      </c>
    </row>
    <row r="238" spans="1:17" ht="15" x14ac:dyDescent="0.2">
      <c r="A238" s="83"/>
      <c r="B238" s="83" t="s">
        <v>264</v>
      </c>
      <c r="C238" s="133" t="s">
        <v>349</v>
      </c>
      <c r="D238" s="134" t="s">
        <v>263</v>
      </c>
      <c r="E238" s="83" t="s">
        <v>264</v>
      </c>
      <c r="F238" s="83" t="s">
        <v>265</v>
      </c>
      <c r="G238" s="135" t="s">
        <v>268</v>
      </c>
      <c r="H238" s="83" t="s">
        <v>267</v>
      </c>
      <c r="I238" s="135" t="s">
        <v>777</v>
      </c>
      <c r="K238" s="137" t="s">
        <v>1137</v>
      </c>
      <c r="L238" s="135" t="s">
        <v>777</v>
      </c>
      <c r="M238" s="135" t="s">
        <v>777</v>
      </c>
      <c r="O238" s="34" t="s">
        <v>1491</v>
      </c>
      <c r="P238" s="34" t="s">
        <v>243</v>
      </c>
      <c r="Q238" s="83">
        <v>2025</v>
      </c>
    </row>
    <row r="239" spans="1:17" ht="15" x14ac:dyDescent="0.2">
      <c r="A239" s="83"/>
      <c r="B239" s="83" t="s">
        <v>264</v>
      </c>
      <c r="C239" s="133" t="s">
        <v>350</v>
      </c>
      <c r="D239" s="134" t="s">
        <v>263</v>
      </c>
      <c r="E239" s="83" t="s">
        <v>264</v>
      </c>
      <c r="F239" s="83" t="s">
        <v>265</v>
      </c>
      <c r="G239" s="135" t="s">
        <v>268</v>
      </c>
      <c r="H239" s="83" t="s">
        <v>267</v>
      </c>
      <c r="I239" s="135" t="s">
        <v>778</v>
      </c>
      <c r="K239" s="137" t="s">
        <v>1138</v>
      </c>
      <c r="L239" s="135" t="s">
        <v>778</v>
      </c>
      <c r="M239" s="135" t="s">
        <v>778</v>
      </c>
      <c r="O239" s="34" t="s">
        <v>1491</v>
      </c>
      <c r="P239" s="34" t="s">
        <v>243</v>
      </c>
      <c r="Q239" s="83">
        <v>2025</v>
      </c>
    </row>
    <row r="240" spans="1:17" ht="15" x14ac:dyDescent="0.2">
      <c r="A240" s="83"/>
      <c r="B240" s="83" t="s">
        <v>264</v>
      </c>
      <c r="C240" s="133" t="s">
        <v>351</v>
      </c>
      <c r="D240" s="134" t="s">
        <v>263</v>
      </c>
      <c r="E240" s="83" t="s">
        <v>264</v>
      </c>
      <c r="F240" s="83" t="s">
        <v>265</v>
      </c>
      <c r="G240" s="135" t="s">
        <v>271</v>
      </c>
      <c r="H240" s="83" t="s">
        <v>267</v>
      </c>
      <c r="I240" s="135" t="s">
        <v>779</v>
      </c>
      <c r="K240" s="137" t="s">
        <v>1139</v>
      </c>
      <c r="L240" s="135" t="s">
        <v>779</v>
      </c>
      <c r="M240" s="135" t="s">
        <v>779</v>
      </c>
      <c r="O240" s="34" t="s">
        <v>1491</v>
      </c>
      <c r="P240" s="34" t="s">
        <v>243</v>
      </c>
      <c r="Q240" s="83">
        <v>2025</v>
      </c>
    </row>
    <row r="241" spans="1:17" ht="15" x14ac:dyDescent="0.2">
      <c r="A241" s="83"/>
      <c r="B241" s="83" t="s">
        <v>264</v>
      </c>
      <c r="C241" s="133" t="s">
        <v>352</v>
      </c>
      <c r="D241" s="134" t="s">
        <v>263</v>
      </c>
      <c r="E241" s="83" t="s">
        <v>264</v>
      </c>
      <c r="F241" s="83" t="s">
        <v>265</v>
      </c>
      <c r="G241" s="135" t="s">
        <v>268</v>
      </c>
      <c r="H241" s="83" t="s">
        <v>267</v>
      </c>
      <c r="I241" s="135" t="s">
        <v>780</v>
      </c>
      <c r="K241" s="137" t="s">
        <v>1140</v>
      </c>
      <c r="L241" s="135" t="s">
        <v>780</v>
      </c>
      <c r="M241" s="135" t="s">
        <v>780</v>
      </c>
      <c r="O241" s="34" t="s">
        <v>1491</v>
      </c>
      <c r="P241" s="34" t="s">
        <v>243</v>
      </c>
      <c r="Q241" s="83">
        <v>2025</v>
      </c>
    </row>
    <row r="242" spans="1:17" ht="15" x14ac:dyDescent="0.2">
      <c r="A242" s="83"/>
      <c r="B242" s="83" t="s">
        <v>264</v>
      </c>
      <c r="C242" s="133" t="s">
        <v>353</v>
      </c>
      <c r="D242" s="134" t="s">
        <v>263</v>
      </c>
      <c r="E242" s="83" t="s">
        <v>264</v>
      </c>
      <c r="F242" s="83" t="s">
        <v>265</v>
      </c>
      <c r="G242" s="135" t="s">
        <v>268</v>
      </c>
      <c r="H242" s="83" t="s">
        <v>267</v>
      </c>
      <c r="I242" s="135" t="s">
        <v>781</v>
      </c>
      <c r="K242" s="137" t="s">
        <v>1141</v>
      </c>
      <c r="L242" s="135" t="s">
        <v>781</v>
      </c>
      <c r="M242" s="135" t="s">
        <v>781</v>
      </c>
      <c r="O242" s="34" t="s">
        <v>1491</v>
      </c>
      <c r="P242" s="34" t="s">
        <v>243</v>
      </c>
      <c r="Q242" s="83">
        <v>2025</v>
      </c>
    </row>
    <row r="243" spans="1:17" ht="15" x14ac:dyDescent="0.2">
      <c r="A243" s="83"/>
      <c r="B243" s="83" t="s">
        <v>264</v>
      </c>
      <c r="C243" s="133" t="s">
        <v>354</v>
      </c>
      <c r="D243" s="134" t="s">
        <v>263</v>
      </c>
      <c r="E243" s="83" t="s">
        <v>264</v>
      </c>
      <c r="F243" s="83" t="s">
        <v>265</v>
      </c>
      <c r="G243" s="135" t="s">
        <v>266</v>
      </c>
      <c r="H243" s="83" t="s">
        <v>267</v>
      </c>
      <c r="I243" s="135" t="s">
        <v>782</v>
      </c>
      <c r="K243" s="137" t="s">
        <v>1142</v>
      </c>
      <c r="L243" s="135" t="s">
        <v>782</v>
      </c>
      <c r="M243" s="135" t="s">
        <v>782</v>
      </c>
      <c r="O243" s="34" t="s">
        <v>1490</v>
      </c>
      <c r="P243" s="34" t="s">
        <v>243</v>
      </c>
      <c r="Q243" s="83">
        <v>2025</v>
      </c>
    </row>
    <row r="244" spans="1:17" ht="15" x14ac:dyDescent="0.2">
      <c r="A244" s="83"/>
      <c r="B244" s="83" t="s">
        <v>264</v>
      </c>
      <c r="C244" s="133" t="s">
        <v>355</v>
      </c>
      <c r="D244" s="134" t="s">
        <v>263</v>
      </c>
      <c r="E244" s="83" t="s">
        <v>264</v>
      </c>
      <c r="F244" s="83" t="s">
        <v>265</v>
      </c>
      <c r="G244" s="135" t="s">
        <v>271</v>
      </c>
      <c r="H244" s="83" t="s">
        <v>267</v>
      </c>
      <c r="I244" s="135" t="s">
        <v>783</v>
      </c>
      <c r="K244" s="137" t="s">
        <v>1143</v>
      </c>
      <c r="L244" s="135" t="s">
        <v>783</v>
      </c>
      <c r="M244" s="135" t="s">
        <v>783</v>
      </c>
      <c r="O244" s="34" t="s">
        <v>1491</v>
      </c>
      <c r="P244" s="34" t="s">
        <v>243</v>
      </c>
      <c r="Q244" s="83">
        <v>2025</v>
      </c>
    </row>
    <row r="245" spans="1:17" ht="15" x14ac:dyDescent="0.2">
      <c r="A245" s="83"/>
      <c r="B245" s="83" t="s">
        <v>264</v>
      </c>
      <c r="C245" s="133" t="s">
        <v>356</v>
      </c>
      <c r="D245" s="134" t="s">
        <v>263</v>
      </c>
      <c r="E245" s="83" t="s">
        <v>264</v>
      </c>
      <c r="F245" s="83" t="s">
        <v>265</v>
      </c>
      <c r="G245" s="135" t="s">
        <v>268</v>
      </c>
      <c r="H245" s="83" t="s">
        <v>267</v>
      </c>
      <c r="I245" s="135" t="s">
        <v>784</v>
      </c>
      <c r="K245" s="137" t="s">
        <v>1144</v>
      </c>
      <c r="L245" s="135" t="s">
        <v>784</v>
      </c>
      <c r="M245" s="135" t="s">
        <v>784</v>
      </c>
      <c r="O245" s="34" t="s">
        <v>1491</v>
      </c>
      <c r="P245" s="34" t="s">
        <v>243</v>
      </c>
      <c r="Q245" s="83">
        <v>2025</v>
      </c>
    </row>
    <row r="246" spans="1:17" ht="15" x14ac:dyDescent="0.2">
      <c r="A246" s="83"/>
      <c r="B246" s="83" t="s">
        <v>264</v>
      </c>
      <c r="C246" s="133" t="s">
        <v>357</v>
      </c>
      <c r="D246" s="134" t="s">
        <v>263</v>
      </c>
      <c r="E246" s="83" t="s">
        <v>264</v>
      </c>
      <c r="F246" s="83" t="s">
        <v>265</v>
      </c>
      <c r="G246" s="135" t="s">
        <v>268</v>
      </c>
      <c r="H246" s="83" t="s">
        <v>267</v>
      </c>
      <c r="I246" s="135" t="s">
        <v>785</v>
      </c>
      <c r="K246" s="137" t="s">
        <v>1145</v>
      </c>
      <c r="L246" s="135" t="s">
        <v>785</v>
      </c>
      <c r="M246" s="135" t="s">
        <v>785</v>
      </c>
      <c r="O246" s="34" t="s">
        <v>1491</v>
      </c>
      <c r="P246" s="34" t="s">
        <v>243</v>
      </c>
      <c r="Q246" s="83">
        <v>2025</v>
      </c>
    </row>
    <row r="247" spans="1:17" ht="15" x14ac:dyDescent="0.2">
      <c r="A247" s="83"/>
      <c r="B247" s="83" t="s">
        <v>264</v>
      </c>
      <c r="C247" s="133" t="s">
        <v>358</v>
      </c>
      <c r="D247" s="134" t="s">
        <v>263</v>
      </c>
      <c r="E247" s="83" t="s">
        <v>264</v>
      </c>
      <c r="F247" s="83" t="s">
        <v>265</v>
      </c>
      <c r="G247" s="135" t="s">
        <v>266</v>
      </c>
      <c r="H247" s="83" t="s">
        <v>267</v>
      </c>
      <c r="I247" s="135" t="s">
        <v>786</v>
      </c>
      <c r="K247" s="137" t="s">
        <v>1146</v>
      </c>
      <c r="L247" s="135" t="s">
        <v>786</v>
      </c>
      <c r="M247" s="135" t="s">
        <v>786</v>
      </c>
      <c r="O247" s="34" t="s">
        <v>1490</v>
      </c>
      <c r="P247" s="34" t="s">
        <v>243</v>
      </c>
      <c r="Q247" s="83">
        <v>2025</v>
      </c>
    </row>
    <row r="248" spans="1:17" ht="15" x14ac:dyDescent="0.2">
      <c r="A248" s="83"/>
      <c r="B248" s="83" t="s">
        <v>264</v>
      </c>
      <c r="C248" s="133" t="s">
        <v>359</v>
      </c>
      <c r="D248" s="134" t="s">
        <v>263</v>
      </c>
      <c r="E248" s="83" t="s">
        <v>264</v>
      </c>
      <c r="F248" s="83" t="s">
        <v>265</v>
      </c>
      <c r="G248" s="135" t="s">
        <v>268</v>
      </c>
      <c r="H248" s="83" t="s">
        <v>267</v>
      </c>
      <c r="I248" s="135" t="s">
        <v>787</v>
      </c>
      <c r="K248" s="137" t="s">
        <v>1147</v>
      </c>
      <c r="L248" s="135" t="s">
        <v>787</v>
      </c>
      <c r="M248" s="135" t="s">
        <v>787</v>
      </c>
      <c r="O248" s="34" t="s">
        <v>1491</v>
      </c>
      <c r="P248" s="34" t="s">
        <v>243</v>
      </c>
      <c r="Q248" s="83">
        <v>2025</v>
      </c>
    </row>
    <row r="249" spans="1:17" ht="15" x14ac:dyDescent="0.2">
      <c r="A249" s="83"/>
      <c r="B249" s="83" t="s">
        <v>264</v>
      </c>
      <c r="C249" s="133" t="s">
        <v>360</v>
      </c>
      <c r="D249" s="134" t="s">
        <v>263</v>
      </c>
      <c r="E249" s="83" t="s">
        <v>264</v>
      </c>
      <c r="F249" s="83" t="s">
        <v>265</v>
      </c>
      <c r="G249" s="135" t="s">
        <v>268</v>
      </c>
      <c r="H249" s="83" t="s">
        <v>267</v>
      </c>
      <c r="I249" s="135" t="s">
        <v>788</v>
      </c>
      <c r="K249" s="137" t="s">
        <v>1148</v>
      </c>
      <c r="L249" s="135" t="s">
        <v>788</v>
      </c>
      <c r="M249" s="135" t="s">
        <v>788</v>
      </c>
      <c r="O249" s="34" t="s">
        <v>1491</v>
      </c>
      <c r="P249" s="34" t="s">
        <v>243</v>
      </c>
      <c r="Q249" s="83">
        <v>2025</v>
      </c>
    </row>
    <row r="250" spans="1:17" ht="15" x14ac:dyDescent="0.2">
      <c r="A250" s="83"/>
      <c r="B250" s="83" t="s">
        <v>264</v>
      </c>
      <c r="C250" s="133" t="s">
        <v>361</v>
      </c>
      <c r="D250" s="134" t="s">
        <v>263</v>
      </c>
      <c r="E250" s="83" t="s">
        <v>264</v>
      </c>
      <c r="F250" s="83" t="s">
        <v>265</v>
      </c>
      <c r="G250" s="135" t="s">
        <v>268</v>
      </c>
      <c r="H250" s="83" t="s">
        <v>267</v>
      </c>
      <c r="I250" s="135" t="s">
        <v>789</v>
      </c>
      <c r="K250" s="137" t="s">
        <v>1149</v>
      </c>
      <c r="L250" s="135" t="s">
        <v>789</v>
      </c>
      <c r="M250" s="135" t="s">
        <v>789</v>
      </c>
      <c r="O250" s="34" t="s">
        <v>1491</v>
      </c>
      <c r="P250" s="34" t="s">
        <v>243</v>
      </c>
      <c r="Q250" s="83">
        <v>2025</v>
      </c>
    </row>
    <row r="251" spans="1:17" ht="15" x14ac:dyDescent="0.2">
      <c r="A251" s="83"/>
      <c r="B251" s="83" t="s">
        <v>264</v>
      </c>
      <c r="C251" s="133" t="s">
        <v>362</v>
      </c>
      <c r="D251" s="134" t="s">
        <v>263</v>
      </c>
      <c r="E251" s="83" t="s">
        <v>264</v>
      </c>
      <c r="F251" s="83" t="s">
        <v>265</v>
      </c>
      <c r="G251" s="135" t="s">
        <v>268</v>
      </c>
      <c r="H251" s="83" t="s">
        <v>267</v>
      </c>
      <c r="I251" s="135" t="s">
        <v>790</v>
      </c>
      <c r="K251" s="137" t="s">
        <v>1150</v>
      </c>
      <c r="L251" s="135" t="s">
        <v>790</v>
      </c>
      <c r="M251" s="135" t="s">
        <v>790</v>
      </c>
      <c r="O251" s="34" t="s">
        <v>1491</v>
      </c>
      <c r="P251" s="34" t="s">
        <v>243</v>
      </c>
      <c r="Q251" s="83">
        <v>2025</v>
      </c>
    </row>
    <row r="252" spans="1:17" ht="15" x14ac:dyDescent="0.2">
      <c r="A252" s="83"/>
      <c r="B252" s="83" t="s">
        <v>264</v>
      </c>
      <c r="C252" s="133" t="s">
        <v>363</v>
      </c>
      <c r="D252" s="134" t="s">
        <v>263</v>
      </c>
      <c r="E252" s="83" t="s">
        <v>264</v>
      </c>
      <c r="F252" s="83" t="s">
        <v>265</v>
      </c>
      <c r="G252" s="135" t="s">
        <v>268</v>
      </c>
      <c r="H252" s="83" t="s">
        <v>267</v>
      </c>
      <c r="I252" s="135" t="s">
        <v>791</v>
      </c>
      <c r="K252" s="137" t="s">
        <v>1151</v>
      </c>
      <c r="L252" s="135" t="s">
        <v>791</v>
      </c>
      <c r="M252" s="135" t="s">
        <v>791</v>
      </c>
      <c r="O252" s="34" t="s">
        <v>1491</v>
      </c>
      <c r="P252" s="34" t="s">
        <v>243</v>
      </c>
      <c r="Q252" s="83">
        <v>2025</v>
      </c>
    </row>
    <row r="253" spans="1:17" ht="15" x14ac:dyDescent="0.2">
      <c r="A253" s="83"/>
      <c r="B253" s="83" t="s">
        <v>264</v>
      </c>
      <c r="C253" s="133" t="s">
        <v>364</v>
      </c>
      <c r="D253" s="134" t="s">
        <v>263</v>
      </c>
      <c r="E253" s="83" t="s">
        <v>264</v>
      </c>
      <c r="F253" s="83" t="s">
        <v>265</v>
      </c>
      <c r="G253" s="135" t="s">
        <v>268</v>
      </c>
      <c r="H253" s="83" t="s">
        <v>267</v>
      </c>
      <c r="I253" s="135" t="s">
        <v>792</v>
      </c>
      <c r="K253" s="137" t="s">
        <v>1152</v>
      </c>
      <c r="L253" s="135" t="s">
        <v>792</v>
      </c>
      <c r="M253" s="135" t="s">
        <v>792</v>
      </c>
      <c r="O253" s="34" t="s">
        <v>1491</v>
      </c>
      <c r="P253" s="34" t="s">
        <v>243</v>
      </c>
      <c r="Q253" s="83">
        <v>2025</v>
      </c>
    </row>
    <row r="254" spans="1:17" ht="15" x14ac:dyDescent="0.2">
      <c r="A254" s="83"/>
      <c r="B254" s="83" t="s">
        <v>264</v>
      </c>
      <c r="C254" s="133" t="s">
        <v>365</v>
      </c>
      <c r="D254" s="134" t="s">
        <v>263</v>
      </c>
      <c r="E254" s="83" t="s">
        <v>264</v>
      </c>
      <c r="F254" s="83" t="s">
        <v>265</v>
      </c>
      <c r="G254" s="135" t="s">
        <v>268</v>
      </c>
      <c r="H254" s="83" t="s">
        <v>267</v>
      </c>
      <c r="I254" s="135" t="s">
        <v>793</v>
      </c>
      <c r="K254" s="137" t="s">
        <v>1153</v>
      </c>
      <c r="L254" s="135" t="s">
        <v>793</v>
      </c>
      <c r="M254" s="135" t="s">
        <v>793</v>
      </c>
      <c r="O254" s="34" t="s">
        <v>1491</v>
      </c>
      <c r="P254" s="34" t="s">
        <v>243</v>
      </c>
      <c r="Q254" s="83">
        <v>2025</v>
      </c>
    </row>
    <row r="255" spans="1:17" ht="15" x14ac:dyDescent="0.2">
      <c r="A255" s="83"/>
      <c r="B255" s="83" t="s">
        <v>264</v>
      </c>
      <c r="C255" s="133" t="s">
        <v>366</v>
      </c>
      <c r="D255" s="134" t="s">
        <v>263</v>
      </c>
      <c r="E255" s="83" t="s">
        <v>264</v>
      </c>
      <c r="F255" s="83" t="s">
        <v>265</v>
      </c>
      <c r="G255" s="135" t="s">
        <v>268</v>
      </c>
      <c r="H255" s="83" t="s">
        <v>267</v>
      </c>
      <c r="I255" s="135" t="s">
        <v>794</v>
      </c>
      <c r="K255" s="137" t="s">
        <v>1154</v>
      </c>
      <c r="L255" s="135" t="s">
        <v>794</v>
      </c>
      <c r="M255" s="135" t="s">
        <v>794</v>
      </c>
      <c r="O255" s="34" t="s">
        <v>1491</v>
      </c>
      <c r="P255" s="34" t="s">
        <v>243</v>
      </c>
      <c r="Q255" s="83">
        <v>2025</v>
      </c>
    </row>
    <row r="256" spans="1:17" ht="15" x14ac:dyDescent="0.2">
      <c r="A256" s="83"/>
      <c r="B256" s="83" t="s">
        <v>264</v>
      </c>
      <c r="C256" s="133" t="s">
        <v>367</v>
      </c>
      <c r="D256" s="134" t="s">
        <v>263</v>
      </c>
      <c r="E256" s="83" t="s">
        <v>264</v>
      </c>
      <c r="F256" s="83" t="s">
        <v>265</v>
      </c>
      <c r="G256" s="135" t="s">
        <v>268</v>
      </c>
      <c r="H256" s="83" t="s">
        <v>267</v>
      </c>
      <c r="I256" s="135" t="s">
        <v>795</v>
      </c>
      <c r="K256" s="137" t="s">
        <v>1155</v>
      </c>
      <c r="L256" s="135" t="s">
        <v>795</v>
      </c>
      <c r="M256" s="135" t="s">
        <v>795</v>
      </c>
      <c r="O256" s="34" t="s">
        <v>1491</v>
      </c>
      <c r="P256" s="34" t="s">
        <v>243</v>
      </c>
      <c r="Q256" s="83">
        <v>2025</v>
      </c>
    </row>
    <row r="257" spans="1:17" ht="15" x14ac:dyDescent="0.2">
      <c r="A257" s="83"/>
      <c r="B257" s="83" t="s">
        <v>264</v>
      </c>
      <c r="C257" s="133" t="s">
        <v>368</v>
      </c>
      <c r="D257" s="134" t="s">
        <v>263</v>
      </c>
      <c r="E257" s="83" t="s">
        <v>264</v>
      </c>
      <c r="F257" s="83" t="s">
        <v>265</v>
      </c>
      <c r="G257" s="135" t="s">
        <v>268</v>
      </c>
      <c r="H257" s="83" t="s">
        <v>267</v>
      </c>
      <c r="I257" s="135" t="s">
        <v>796</v>
      </c>
      <c r="K257" s="137" t="s">
        <v>1156</v>
      </c>
      <c r="L257" s="135" t="s">
        <v>796</v>
      </c>
      <c r="M257" s="135" t="s">
        <v>796</v>
      </c>
      <c r="O257" s="34" t="s">
        <v>1491</v>
      </c>
      <c r="P257" s="34" t="s">
        <v>243</v>
      </c>
      <c r="Q257" s="83">
        <v>2025</v>
      </c>
    </row>
    <row r="258" spans="1:17" ht="15" x14ac:dyDescent="0.2">
      <c r="A258" s="83"/>
      <c r="B258" s="83" t="s">
        <v>264</v>
      </c>
      <c r="C258" s="133" t="s">
        <v>369</v>
      </c>
      <c r="D258" s="134" t="s">
        <v>263</v>
      </c>
      <c r="E258" s="83" t="s">
        <v>264</v>
      </c>
      <c r="F258" s="83" t="s">
        <v>265</v>
      </c>
      <c r="G258" s="135" t="s">
        <v>268</v>
      </c>
      <c r="H258" s="83" t="s">
        <v>267</v>
      </c>
      <c r="I258" s="135" t="s">
        <v>797</v>
      </c>
      <c r="K258" s="137" t="s">
        <v>1157</v>
      </c>
      <c r="L258" s="135" t="s">
        <v>797</v>
      </c>
      <c r="M258" s="135" t="s">
        <v>797</v>
      </c>
      <c r="O258" s="34" t="s">
        <v>1491</v>
      </c>
      <c r="P258" s="34" t="s">
        <v>243</v>
      </c>
      <c r="Q258" s="83">
        <v>2025</v>
      </c>
    </row>
    <row r="259" spans="1:17" ht="15" x14ac:dyDescent="0.2">
      <c r="A259" s="83"/>
      <c r="B259" s="83" t="s">
        <v>264</v>
      </c>
      <c r="C259" s="133" t="s">
        <v>370</v>
      </c>
      <c r="D259" s="134" t="s">
        <v>263</v>
      </c>
      <c r="E259" s="83" t="s">
        <v>264</v>
      </c>
      <c r="F259" s="83" t="s">
        <v>265</v>
      </c>
      <c r="G259" s="135" t="s">
        <v>268</v>
      </c>
      <c r="H259" s="83" t="s">
        <v>267</v>
      </c>
      <c r="I259" s="135" t="s">
        <v>798</v>
      </c>
      <c r="K259" s="137" t="s">
        <v>1158</v>
      </c>
      <c r="L259" s="135" t="s">
        <v>798</v>
      </c>
      <c r="M259" s="135" t="s">
        <v>798</v>
      </c>
      <c r="O259" s="34" t="s">
        <v>1491</v>
      </c>
      <c r="P259" s="34" t="s">
        <v>243</v>
      </c>
      <c r="Q259" s="83">
        <v>2025</v>
      </c>
    </row>
    <row r="260" spans="1:17" ht="15" x14ac:dyDescent="0.2">
      <c r="A260" s="83"/>
      <c r="B260" s="83" t="s">
        <v>264</v>
      </c>
      <c r="C260" s="133" t="s">
        <v>371</v>
      </c>
      <c r="D260" s="134" t="s">
        <v>263</v>
      </c>
      <c r="E260" s="83" t="s">
        <v>264</v>
      </c>
      <c r="F260" s="83" t="s">
        <v>265</v>
      </c>
      <c r="G260" s="135" t="s">
        <v>268</v>
      </c>
      <c r="H260" s="83" t="s">
        <v>267</v>
      </c>
      <c r="I260" s="135" t="s">
        <v>799</v>
      </c>
      <c r="K260" s="137" t="s">
        <v>1159</v>
      </c>
      <c r="L260" s="135" t="s">
        <v>799</v>
      </c>
      <c r="M260" s="135" t="s">
        <v>799</v>
      </c>
      <c r="O260" s="34" t="s">
        <v>1491</v>
      </c>
      <c r="P260" s="34" t="s">
        <v>243</v>
      </c>
      <c r="Q260" s="83">
        <v>2025</v>
      </c>
    </row>
    <row r="261" spans="1:17" ht="15" x14ac:dyDescent="0.2">
      <c r="A261" s="83"/>
      <c r="B261" s="83" t="s">
        <v>264</v>
      </c>
      <c r="C261" s="133" t="s">
        <v>372</v>
      </c>
      <c r="D261" s="134" t="s">
        <v>263</v>
      </c>
      <c r="E261" s="83" t="s">
        <v>264</v>
      </c>
      <c r="F261" s="83" t="s">
        <v>265</v>
      </c>
      <c r="G261" s="135" t="s">
        <v>268</v>
      </c>
      <c r="H261" s="83" t="s">
        <v>267</v>
      </c>
      <c r="I261" s="135" t="s">
        <v>800</v>
      </c>
      <c r="K261" s="137" t="s">
        <v>1160</v>
      </c>
      <c r="L261" s="135" t="s">
        <v>800</v>
      </c>
      <c r="M261" s="135" t="s">
        <v>800</v>
      </c>
      <c r="O261" s="34" t="s">
        <v>1491</v>
      </c>
      <c r="P261" s="34" t="s">
        <v>243</v>
      </c>
      <c r="Q261" s="83">
        <v>2025</v>
      </c>
    </row>
    <row r="262" spans="1:17" ht="15" x14ac:dyDescent="0.2">
      <c r="A262" s="83"/>
      <c r="B262" s="83" t="s">
        <v>264</v>
      </c>
      <c r="C262" s="133" t="s">
        <v>373</v>
      </c>
      <c r="D262" s="134" t="s">
        <v>263</v>
      </c>
      <c r="E262" s="83" t="s">
        <v>264</v>
      </c>
      <c r="F262" s="83" t="s">
        <v>265</v>
      </c>
      <c r="G262" s="135" t="s">
        <v>268</v>
      </c>
      <c r="H262" s="83" t="s">
        <v>267</v>
      </c>
      <c r="I262" s="135" t="s">
        <v>801</v>
      </c>
      <c r="K262" s="137" t="s">
        <v>1161</v>
      </c>
      <c r="L262" s="135" t="s">
        <v>801</v>
      </c>
      <c r="M262" s="135" t="s">
        <v>801</v>
      </c>
      <c r="O262" s="34" t="s">
        <v>1491</v>
      </c>
      <c r="P262" s="34" t="s">
        <v>243</v>
      </c>
      <c r="Q262" s="83">
        <v>2025</v>
      </c>
    </row>
    <row r="263" spans="1:17" ht="15" x14ac:dyDescent="0.2">
      <c r="A263" s="83"/>
      <c r="B263" s="83" t="s">
        <v>264</v>
      </c>
      <c r="C263" s="133" t="s">
        <v>374</v>
      </c>
      <c r="D263" s="134" t="s">
        <v>263</v>
      </c>
      <c r="E263" s="83" t="s">
        <v>264</v>
      </c>
      <c r="F263" s="83" t="s">
        <v>265</v>
      </c>
      <c r="G263" s="135" t="s">
        <v>268</v>
      </c>
      <c r="H263" s="83" t="s">
        <v>267</v>
      </c>
      <c r="I263" s="135" t="s">
        <v>802</v>
      </c>
      <c r="K263" s="137" t="s">
        <v>1162</v>
      </c>
      <c r="L263" s="135" t="s">
        <v>802</v>
      </c>
      <c r="M263" s="135" t="s">
        <v>802</v>
      </c>
      <c r="O263" s="34" t="s">
        <v>1491</v>
      </c>
      <c r="P263" s="34" t="s">
        <v>243</v>
      </c>
      <c r="Q263" s="83">
        <v>2025</v>
      </c>
    </row>
    <row r="264" spans="1:17" ht="15" x14ac:dyDescent="0.2">
      <c r="A264" s="83"/>
      <c r="B264" s="83" t="s">
        <v>264</v>
      </c>
      <c r="C264" s="133" t="s">
        <v>375</v>
      </c>
      <c r="D264" s="134" t="s">
        <v>263</v>
      </c>
      <c r="E264" s="83" t="s">
        <v>264</v>
      </c>
      <c r="F264" s="83" t="s">
        <v>265</v>
      </c>
      <c r="G264" s="135" t="s">
        <v>269</v>
      </c>
      <c r="H264" s="83" t="s">
        <v>267</v>
      </c>
      <c r="I264" s="135" t="s">
        <v>803</v>
      </c>
      <c r="K264" s="137" t="s">
        <v>1163</v>
      </c>
      <c r="L264" s="135" t="s">
        <v>803</v>
      </c>
      <c r="M264" s="135" t="s">
        <v>803</v>
      </c>
      <c r="O264" s="34" t="s">
        <v>1490</v>
      </c>
      <c r="P264" s="34" t="s">
        <v>243</v>
      </c>
      <c r="Q264" s="83">
        <v>2025</v>
      </c>
    </row>
    <row r="265" spans="1:17" ht="15" x14ac:dyDescent="0.2">
      <c r="A265" s="83"/>
      <c r="B265" s="83" t="s">
        <v>264</v>
      </c>
      <c r="C265" s="133" t="s">
        <v>376</v>
      </c>
      <c r="D265" s="134" t="s">
        <v>263</v>
      </c>
      <c r="E265" s="83" t="s">
        <v>264</v>
      </c>
      <c r="F265" s="83" t="s">
        <v>265</v>
      </c>
      <c r="G265" s="135" t="s">
        <v>266</v>
      </c>
      <c r="H265" s="83" t="s">
        <v>267</v>
      </c>
      <c r="I265" s="135" t="s">
        <v>804</v>
      </c>
      <c r="K265" s="137" t="s">
        <v>1164</v>
      </c>
      <c r="L265" s="135" t="s">
        <v>804</v>
      </c>
      <c r="M265" s="135" t="s">
        <v>804</v>
      </c>
      <c r="O265" s="34" t="s">
        <v>1490</v>
      </c>
      <c r="P265" s="34" t="s">
        <v>243</v>
      </c>
      <c r="Q265" s="83">
        <v>2025</v>
      </c>
    </row>
    <row r="266" spans="1:17" ht="15" x14ac:dyDescent="0.2">
      <c r="A266" s="83"/>
      <c r="B266" s="83" t="s">
        <v>264</v>
      </c>
      <c r="C266" s="133" t="s">
        <v>377</v>
      </c>
      <c r="D266" s="134" t="s">
        <v>263</v>
      </c>
      <c r="E266" s="83" t="s">
        <v>264</v>
      </c>
      <c r="F266" s="83" t="s">
        <v>265</v>
      </c>
      <c r="G266" s="135" t="s">
        <v>266</v>
      </c>
      <c r="H266" s="83" t="s">
        <v>267</v>
      </c>
      <c r="I266" s="135" t="s">
        <v>805</v>
      </c>
      <c r="K266" s="137" t="s">
        <v>1165</v>
      </c>
      <c r="L266" s="135" t="s">
        <v>805</v>
      </c>
      <c r="M266" s="135" t="s">
        <v>805</v>
      </c>
      <c r="O266" s="34" t="s">
        <v>1490</v>
      </c>
      <c r="P266" s="34" t="s">
        <v>243</v>
      </c>
      <c r="Q266" s="83">
        <v>2025</v>
      </c>
    </row>
    <row r="267" spans="1:17" ht="15" x14ac:dyDescent="0.2">
      <c r="A267" s="83"/>
      <c r="B267" s="83" t="s">
        <v>264</v>
      </c>
      <c r="C267" s="133" t="s">
        <v>378</v>
      </c>
      <c r="D267" s="134" t="s">
        <v>263</v>
      </c>
      <c r="E267" s="83" t="s">
        <v>264</v>
      </c>
      <c r="F267" s="83" t="s">
        <v>265</v>
      </c>
      <c r="G267" s="135" t="s">
        <v>266</v>
      </c>
      <c r="H267" s="83" t="s">
        <v>267</v>
      </c>
      <c r="I267" s="135" t="s">
        <v>806</v>
      </c>
      <c r="K267" s="137" t="s">
        <v>1166</v>
      </c>
      <c r="L267" s="135" t="s">
        <v>806</v>
      </c>
      <c r="M267" s="135" t="s">
        <v>806</v>
      </c>
      <c r="O267" s="34" t="s">
        <v>1490</v>
      </c>
      <c r="P267" s="34" t="s">
        <v>243</v>
      </c>
      <c r="Q267" s="83">
        <v>2025</v>
      </c>
    </row>
    <row r="268" spans="1:17" ht="15" x14ac:dyDescent="0.2">
      <c r="A268" s="83"/>
      <c r="B268" s="83" t="s">
        <v>264</v>
      </c>
      <c r="C268" s="133" t="s">
        <v>379</v>
      </c>
      <c r="D268" s="134" t="s">
        <v>263</v>
      </c>
      <c r="E268" s="83" t="s">
        <v>264</v>
      </c>
      <c r="F268" s="83" t="s">
        <v>265</v>
      </c>
      <c r="G268" s="135" t="s">
        <v>266</v>
      </c>
      <c r="H268" s="83" t="s">
        <v>267</v>
      </c>
      <c r="I268" s="135" t="s">
        <v>807</v>
      </c>
      <c r="K268" s="137" t="s">
        <v>1167</v>
      </c>
      <c r="L268" s="135" t="s">
        <v>807</v>
      </c>
      <c r="M268" s="135" t="s">
        <v>807</v>
      </c>
      <c r="O268" s="34" t="s">
        <v>1490</v>
      </c>
      <c r="P268" s="34" t="s">
        <v>243</v>
      </c>
      <c r="Q268" s="83">
        <v>2025</v>
      </c>
    </row>
    <row r="269" spans="1:17" ht="15" x14ac:dyDescent="0.2">
      <c r="A269" s="83"/>
      <c r="B269" s="83" t="s">
        <v>264</v>
      </c>
      <c r="C269" s="133" t="s">
        <v>380</v>
      </c>
      <c r="D269" s="134" t="s">
        <v>263</v>
      </c>
      <c r="E269" s="83" t="s">
        <v>264</v>
      </c>
      <c r="F269" s="83" t="s">
        <v>265</v>
      </c>
      <c r="G269" s="135" t="s">
        <v>266</v>
      </c>
      <c r="H269" s="83" t="s">
        <v>267</v>
      </c>
      <c r="I269" s="135" t="s">
        <v>808</v>
      </c>
      <c r="K269" s="137" t="s">
        <v>1168</v>
      </c>
      <c r="L269" s="135" t="s">
        <v>808</v>
      </c>
      <c r="M269" s="135" t="s">
        <v>808</v>
      </c>
      <c r="O269" s="34" t="s">
        <v>1490</v>
      </c>
      <c r="P269" s="34" t="s">
        <v>243</v>
      </c>
      <c r="Q269" s="83">
        <v>2025</v>
      </c>
    </row>
    <row r="270" spans="1:17" ht="15" x14ac:dyDescent="0.2">
      <c r="A270" s="83"/>
      <c r="B270" s="83" t="s">
        <v>264</v>
      </c>
      <c r="C270" s="133" t="s">
        <v>381</v>
      </c>
      <c r="D270" s="134" t="s">
        <v>263</v>
      </c>
      <c r="E270" s="83" t="s">
        <v>264</v>
      </c>
      <c r="F270" s="83" t="s">
        <v>265</v>
      </c>
      <c r="G270" s="135" t="s">
        <v>268</v>
      </c>
      <c r="H270" s="83" t="s">
        <v>267</v>
      </c>
      <c r="I270" s="135" t="s">
        <v>809</v>
      </c>
      <c r="K270" s="137" t="s">
        <v>1169</v>
      </c>
      <c r="L270" s="135" t="s">
        <v>809</v>
      </c>
      <c r="M270" s="135" t="s">
        <v>809</v>
      </c>
      <c r="O270" s="34" t="s">
        <v>1491</v>
      </c>
      <c r="P270" s="34" t="s">
        <v>243</v>
      </c>
      <c r="Q270" s="83">
        <v>2025</v>
      </c>
    </row>
    <row r="271" spans="1:17" ht="15" x14ac:dyDescent="0.2">
      <c r="A271" s="83"/>
      <c r="B271" s="83" t="s">
        <v>264</v>
      </c>
      <c r="C271" s="133" t="s">
        <v>382</v>
      </c>
      <c r="D271" s="134" t="s">
        <v>263</v>
      </c>
      <c r="E271" s="83" t="s">
        <v>264</v>
      </c>
      <c r="F271" s="83" t="s">
        <v>265</v>
      </c>
      <c r="G271" s="135" t="s">
        <v>268</v>
      </c>
      <c r="H271" s="83" t="s">
        <v>267</v>
      </c>
      <c r="I271" s="135" t="s">
        <v>810</v>
      </c>
      <c r="K271" s="137" t="s">
        <v>1170</v>
      </c>
      <c r="L271" s="135" t="s">
        <v>810</v>
      </c>
      <c r="M271" s="135" t="s">
        <v>810</v>
      </c>
      <c r="O271" s="34" t="s">
        <v>1491</v>
      </c>
      <c r="P271" s="34" t="s">
        <v>243</v>
      </c>
      <c r="Q271" s="83">
        <v>2025</v>
      </c>
    </row>
    <row r="272" spans="1:17" ht="15" x14ac:dyDescent="0.2">
      <c r="A272" s="83"/>
      <c r="B272" s="83" t="s">
        <v>264</v>
      </c>
      <c r="C272" s="133" t="s">
        <v>383</v>
      </c>
      <c r="D272" s="134" t="s">
        <v>263</v>
      </c>
      <c r="E272" s="83" t="s">
        <v>264</v>
      </c>
      <c r="F272" s="83" t="s">
        <v>265</v>
      </c>
      <c r="G272" s="135" t="s">
        <v>269</v>
      </c>
      <c r="H272" s="83" t="s">
        <v>267</v>
      </c>
      <c r="I272" s="135" t="s">
        <v>811</v>
      </c>
      <c r="K272" s="137" t="s">
        <v>1171</v>
      </c>
      <c r="L272" s="135" t="s">
        <v>811</v>
      </c>
      <c r="M272" s="135" t="s">
        <v>811</v>
      </c>
      <c r="O272" s="34" t="s">
        <v>1490</v>
      </c>
      <c r="P272" s="34" t="s">
        <v>243</v>
      </c>
      <c r="Q272" s="83">
        <v>2025</v>
      </c>
    </row>
    <row r="273" spans="1:17" ht="15" x14ac:dyDescent="0.2">
      <c r="A273" s="83"/>
      <c r="B273" s="83" t="s">
        <v>264</v>
      </c>
      <c r="C273" s="133" t="s">
        <v>384</v>
      </c>
      <c r="D273" s="134" t="s">
        <v>263</v>
      </c>
      <c r="E273" s="83" t="s">
        <v>264</v>
      </c>
      <c r="F273" s="83" t="s">
        <v>265</v>
      </c>
      <c r="G273" s="135" t="s">
        <v>266</v>
      </c>
      <c r="H273" s="83" t="s">
        <v>267</v>
      </c>
      <c r="I273" s="135" t="s">
        <v>812</v>
      </c>
      <c r="K273" s="137" t="s">
        <v>1172</v>
      </c>
      <c r="L273" s="135" t="s">
        <v>812</v>
      </c>
      <c r="M273" s="135" t="s">
        <v>812</v>
      </c>
      <c r="O273" s="34" t="s">
        <v>1490</v>
      </c>
      <c r="P273" s="34" t="s">
        <v>243</v>
      </c>
      <c r="Q273" s="83">
        <v>2025</v>
      </c>
    </row>
    <row r="274" spans="1:17" ht="15" x14ac:dyDescent="0.2">
      <c r="A274" s="83"/>
      <c r="B274" s="83" t="s">
        <v>264</v>
      </c>
      <c r="C274" s="133" t="s">
        <v>385</v>
      </c>
      <c r="D274" s="134" t="s">
        <v>263</v>
      </c>
      <c r="E274" s="83" t="s">
        <v>264</v>
      </c>
      <c r="F274" s="83" t="s">
        <v>265</v>
      </c>
      <c r="G274" s="135" t="s">
        <v>266</v>
      </c>
      <c r="H274" s="83" t="s">
        <v>267</v>
      </c>
      <c r="I274" s="135" t="s">
        <v>813</v>
      </c>
      <c r="K274" s="137" t="s">
        <v>1173</v>
      </c>
      <c r="L274" s="135" t="s">
        <v>813</v>
      </c>
      <c r="M274" s="135" t="s">
        <v>813</v>
      </c>
      <c r="O274" s="34" t="s">
        <v>1490</v>
      </c>
      <c r="P274" s="34" t="s">
        <v>243</v>
      </c>
      <c r="Q274" s="83">
        <v>2025</v>
      </c>
    </row>
    <row r="275" spans="1:17" ht="15" x14ac:dyDescent="0.2">
      <c r="A275" s="83"/>
      <c r="B275" s="83" t="s">
        <v>264</v>
      </c>
      <c r="C275" s="133" t="s">
        <v>386</v>
      </c>
      <c r="D275" s="134" t="s">
        <v>263</v>
      </c>
      <c r="E275" s="83" t="s">
        <v>264</v>
      </c>
      <c r="F275" s="83" t="s">
        <v>265</v>
      </c>
      <c r="G275" s="135" t="s">
        <v>266</v>
      </c>
      <c r="H275" s="83" t="s">
        <v>267</v>
      </c>
      <c r="I275" s="135" t="s">
        <v>814</v>
      </c>
      <c r="K275" s="137" t="s">
        <v>1174</v>
      </c>
      <c r="L275" s="135" t="s">
        <v>814</v>
      </c>
      <c r="M275" s="135" t="s">
        <v>814</v>
      </c>
      <c r="O275" s="34" t="s">
        <v>1490</v>
      </c>
      <c r="P275" s="34" t="s">
        <v>243</v>
      </c>
      <c r="Q275" s="83">
        <v>2025</v>
      </c>
    </row>
    <row r="276" spans="1:17" ht="15" x14ac:dyDescent="0.2">
      <c r="A276" s="83"/>
      <c r="B276" s="83" t="s">
        <v>264</v>
      </c>
      <c r="C276" s="133" t="s">
        <v>387</v>
      </c>
      <c r="D276" s="134" t="s">
        <v>263</v>
      </c>
      <c r="E276" s="83" t="s">
        <v>264</v>
      </c>
      <c r="F276" s="83" t="s">
        <v>265</v>
      </c>
      <c r="G276" s="135" t="s">
        <v>271</v>
      </c>
      <c r="H276" s="83" t="s">
        <v>267</v>
      </c>
      <c r="I276" s="135" t="s">
        <v>815</v>
      </c>
      <c r="K276" s="137" t="s">
        <v>1175</v>
      </c>
      <c r="L276" s="135" t="s">
        <v>815</v>
      </c>
      <c r="M276" s="135" t="s">
        <v>815</v>
      </c>
      <c r="O276" s="34" t="s">
        <v>1491</v>
      </c>
      <c r="P276" s="34" t="s">
        <v>243</v>
      </c>
      <c r="Q276" s="83">
        <v>2025</v>
      </c>
    </row>
    <row r="277" spans="1:17" ht="15" x14ac:dyDescent="0.2">
      <c r="A277" s="83"/>
      <c r="B277" s="83" t="s">
        <v>264</v>
      </c>
      <c r="C277" s="133" t="s">
        <v>388</v>
      </c>
      <c r="D277" s="134" t="s">
        <v>263</v>
      </c>
      <c r="E277" s="83" t="s">
        <v>264</v>
      </c>
      <c r="F277" s="83" t="s">
        <v>265</v>
      </c>
      <c r="G277" s="135" t="s">
        <v>268</v>
      </c>
      <c r="H277" s="83" t="s">
        <v>267</v>
      </c>
      <c r="I277" s="135" t="s">
        <v>816</v>
      </c>
      <c r="K277" s="137" t="s">
        <v>1176</v>
      </c>
      <c r="L277" s="135" t="s">
        <v>816</v>
      </c>
      <c r="M277" s="135" t="s">
        <v>816</v>
      </c>
      <c r="O277" s="34" t="s">
        <v>1491</v>
      </c>
      <c r="P277" s="34" t="s">
        <v>243</v>
      </c>
      <c r="Q277" s="83">
        <v>2025</v>
      </c>
    </row>
    <row r="278" spans="1:17" ht="15" x14ac:dyDescent="0.2">
      <c r="A278" s="83"/>
      <c r="B278" s="83" t="s">
        <v>264</v>
      </c>
      <c r="C278" s="133" t="s">
        <v>389</v>
      </c>
      <c r="D278" s="134" t="s">
        <v>263</v>
      </c>
      <c r="E278" s="83" t="s">
        <v>264</v>
      </c>
      <c r="F278" s="83" t="s">
        <v>265</v>
      </c>
      <c r="G278" s="135" t="s">
        <v>268</v>
      </c>
      <c r="H278" s="83" t="s">
        <v>267</v>
      </c>
      <c r="I278" s="135" t="s">
        <v>817</v>
      </c>
      <c r="K278" s="137" t="s">
        <v>1177</v>
      </c>
      <c r="L278" s="135" t="s">
        <v>817</v>
      </c>
      <c r="M278" s="135" t="s">
        <v>817</v>
      </c>
      <c r="O278" s="34" t="s">
        <v>1491</v>
      </c>
      <c r="P278" s="34" t="s">
        <v>243</v>
      </c>
      <c r="Q278" s="83">
        <v>2025</v>
      </c>
    </row>
    <row r="279" spans="1:17" ht="15" x14ac:dyDescent="0.2">
      <c r="A279" s="83"/>
      <c r="B279" s="83" t="s">
        <v>264</v>
      </c>
      <c r="C279" s="133" t="s">
        <v>390</v>
      </c>
      <c r="D279" s="134" t="s">
        <v>263</v>
      </c>
      <c r="E279" s="83" t="s">
        <v>264</v>
      </c>
      <c r="F279" s="83" t="s">
        <v>265</v>
      </c>
      <c r="G279" s="135" t="s">
        <v>271</v>
      </c>
      <c r="H279" s="83" t="s">
        <v>267</v>
      </c>
      <c r="I279" s="135" t="s">
        <v>818</v>
      </c>
      <c r="K279" s="137" t="s">
        <v>1178</v>
      </c>
      <c r="L279" s="135" t="s">
        <v>818</v>
      </c>
      <c r="M279" s="135" t="s">
        <v>818</v>
      </c>
      <c r="O279" s="34" t="s">
        <v>1491</v>
      </c>
      <c r="P279" s="34" t="s">
        <v>243</v>
      </c>
      <c r="Q279" s="83">
        <v>2025</v>
      </c>
    </row>
    <row r="280" spans="1:17" ht="15" x14ac:dyDescent="0.2">
      <c r="A280" s="83"/>
      <c r="B280" s="83" t="s">
        <v>264</v>
      </c>
      <c r="C280" s="133" t="s">
        <v>391</v>
      </c>
      <c r="D280" s="134" t="s">
        <v>263</v>
      </c>
      <c r="E280" s="83" t="s">
        <v>264</v>
      </c>
      <c r="F280" s="83" t="s">
        <v>265</v>
      </c>
      <c r="G280" s="135" t="s">
        <v>268</v>
      </c>
      <c r="H280" s="83" t="s">
        <v>267</v>
      </c>
      <c r="I280" s="135" t="s">
        <v>819</v>
      </c>
      <c r="K280" s="137" t="s">
        <v>1179</v>
      </c>
      <c r="L280" s="135" t="s">
        <v>819</v>
      </c>
      <c r="M280" s="135" t="s">
        <v>819</v>
      </c>
      <c r="O280" s="34" t="s">
        <v>1491</v>
      </c>
      <c r="P280" s="34" t="s">
        <v>243</v>
      </c>
      <c r="Q280" s="83">
        <v>2025</v>
      </c>
    </row>
    <row r="281" spans="1:17" ht="15" x14ac:dyDescent="0.2">
      <c r="A281" s="83"/>
      <c r="B281" s="83" t="s">
        <v>264</v>
      </c>
      <c r="C281" s="133" t="s">
        <v>392</v>
      </c>
      <c r="D281" s="134" t="s">
        <v>263</v>
      </c>
      <c r="E281" s="83" t="s">
        <v>264</v>
      </c>
      <c r="F281" s="83" t="s">
        <v>265</v>
      </c>
      <c r="G281" s="135" t="s">
        <v>271</v>
      </c>
      <c r="H281" s="83" t="s">
        <v>267</v>
      </c>
      <c r="I281" s="135" t="s">
        <v>820</v>
      </c>
      <c r="K281" s="137" t="s">
        <v>1180</v>
      </c>
      <c r="L281" s="135" t="s">
        <v>820</v>
      </c>
      <c r="M281" s="135" t="s">
        <v>820</v>
      </c>
      <c r="O281" s="34" t="s">
        <v>1491</v>
      </c>
      <c r="P281" s="34" t="s">
        <v>243</v>
      </c>
      <c r="Q281" s="83">
        <v>2025</v>
      </c>
    </row>
    <row r="282" spans="1:17" ht="15" x14ac:dyDescent="0.2">
      <c r="A282" s="83"/>
      <c r="B282" s="83" t="s">
        <v>264</v>
      </c>
      <c r="C282" s="133" t="s">
        <v>393</v>
      </c>
      <c r="D282" s="134" t="s">
        <v>263</v>
      </c>
      <c r="E282" s="83" t="s">
        <v>264</v>
      </c>
      <c r="F282" s="83" t="s">
        <v>265</v>
      </c>
      <c r="G282" s="135" t="s">
        <v>268</v>
      </c>
      <c r="H282" s="83" t="s">
        <v>267</v>
      </c>
      <c r="I282" s="135" t="s">
        <v>821</v>
      </c>
      <c r="K282" s="137" t="s">
        <v>1181</v>
      </c>
      <c r="L282" s="135" t="s">
        <v>821</v>
      </c>
      <c r="M282" s="135" t="s">
        <v>821</v>
      </c>
      <c r="O282" s="34" t="s">
        <v>1491</v>
      </c>
      <c r="P282" s="34" t="s">
        <v>243</v>
      </c>
      <c r="Q282" s="83">
        <v>2025</v>
      </c>
    </row>
    <row r="283" spans="1:17" ht="15" x14ac:dyDescent="0.2">
      <c r="A283" s="83"/>
      <c r="B283" s="83" t="s">
        <v>264</v>
      </c>
      <c r="C283" s="133" t="s">
        <v>394</v>
      </c>
      <c r="D283" s="134" t="s">
        <v>263</v>
      </c>
      <c r="E283" s="83" t="s">
        <v>264</v>
      </c>
      <c r="F283" s="83" t="s">
        <v>265</v>
      </c>
      <c r="G283" s="135" t="s">
        <v>268</v>
      </c>
      <c r="H283" s="83" t="s">
        <v>267</v>
      </c>
      <c r="I283" s="135" t="s">
        <v>822</v>
      </c>
      <c r="K283" s="137" t="s">
        <v>1182</v>
      </c>
      <c r="L283" s="135" t="s">
        <v>822</v>
      </c>
      <c r="M283" s="135" t="s">
        <v>822</v>
      </c>
      <c r="O283" s="34" t="s">
        <v>1491</v>
      </c>
      <c r="P283" s="34" t="s">
        <v>243</v>
      </c>
      <c r="Q283" s="83">
        <v>2025</v>
      </c>
    </row>
    <row r="284" spans="1:17" ht="15" x14ac:dyDescent="0.2">
      <c r="A284" s="83"/>
      <c r="B284" s="83" t="s">
        <v>264</v>
      </c>
      <c r="C284" s="133" t="s">
        <v>395</v>
      </c>
      <c r="D284" s="134" t="s">
        <v>263</v>
      </c>
      <c r="E284" s="83" t="s">
        <v>264</v>
      </c>
      <c r="F284" s="83" t="s">
        <v>265</v>
      </c>
      <c r="G284" s="135" t="s">
        <v>268</v>
      </c>
      <c r="H284" s="83" t="s">
        <v>267</v>
      </c>
      <c r="I284" s="135" t="s">
        <v>823</v>
      </c>
      <c r="K284" s="137" t="s">
        <v>1183</v>
      </c>
      <c r="L284" s="135" t="s">
        <v>823</v>
      </c>
      <c r="M284" s="135" t="s">
        <v>823</v>
      </c>
      <c r="O284" s="34" t="s">
        <v>1491</v>
      </c>
      <c r="P284" s="34" t="s">
        <v>243</v>
      </c>
      <c r="Q284" s="83">
        <v>2025</v>
      </c>
    </row>
    <row r="285" spans="1:17" ht="15" x14ac:dyDescent="0.2">
      <c r="A285" s="83"/>
      <c r="B285" s="83" t="s">
        <v>264</v>
      </c>
      <c r="C285" s="133" t="s">
        <v>396</v>
      </c>
      <c r="D285" s="134" t="s">
        <v>263</v>
      </c>
      <c r="E285" s="83" t="s">
        <v>264</v>
      </c>
      <c r="F285" s="83" t="s">
        <v>265</v>
      </c>
      <c r="G285" s="135" t="s">
        <v>266</v>
      </c>
      <c r="H285" s="83" t="s">
        <v>267</v>
      </c>
      <c r="I285" s="135" t="s">
        <v>824</v>
      </c>
      <c r="K285" s="137" t="s">
        <v>1184</v>
      </c>
      <c r="L285" s="135" t="s">
        <v>824</v>
      </c>
      <c r="M285" s="135" t="s">
        <v>824</v>
      </c>
      <c r="O285" s="34" t="s">
        <v>1490</v>
      </c>
      <c r="P285" s="34" t="s">
        <v>243</v>
      </c>
      <c r="Q285" s="83">
        <v>2025</v>
      </c>
    </row>
    <row r="286" spans="1:17" ht="15" x14ac:dyDescent="0.2">
      <c r="A286" s="83"/>
      <c r="B286" s="83" t="s">
        <v>264</v>
      </c>
      <c r="C286" s="133" t="s">
        <v>397</v>
      </c>
      <c r="D286" s="134" t="s">
        <v>263</v>
      </c>
      <c r="E286" s="83" t="s">
        <v>264</v>
      </c>
      <c r="F286" s="83" t="s">
        <v>265</v>
      </c>
      <c r="G286" s="135" t="s">
        <v>266</v>
      </c>
      <c r="H286" s="83" t="s">
        <v>267</v>
      </c>
      <c r="I286" s="135" t="s">
        <v>825</v>
      </c>
      <c r="K286" s="137" t="s">
        <v>1185</v>
      </c>
      <c r="L286" s="135" t="s">
        <v>825</v>
      </c>
      <c r="M286" s="135" t="s">
        <v>825</v>
      </c>
      <c r="O286" s="34" t="s">
        <v>1490</v>
      </c>
      <c r="P286" s="34" t="s">
        <v>243</v>
      </c>
      <c r="Q286" s="83">
        <v>2025</v>
      </c>
    </row>
    <row r="287" spans="1:17" ht="15" x14ac:dyDescent="0.2">
      <c r="A287" s="83"/>
      <c r="B287" s="83" t="s">
        <v>264</v>
      </c>
      <c r="C287" s="133" t="s">
        <v>398</v>
      </c>
      <c r="D287" s="134" t="s">
        <v>263</v>
      </c>
      <c r="E287" s="83" t="s">
        <v>264</v>
      </c>
      <c r="F287" s="83" t="s">
        <v>265</v>
      </c>
      <c r="G287" s="135" t="s">
        <v>266</v>
      </c>
      <c r="H287" s="83" t="s">
        <v>267</v>
      </c>
      <c r="I287" s="135" t="s">
        <v>826</v>
      </c>
      <c r="K287" s="137" t="s">
        <v>1186</v>
      </c>
      <c r="L287" s="135" t="s">
        <v>826</v>
      </c>
      <c r="M287" s="135" t="s">
        <v>826</v>
      </c>
      <c r="O287" s="34" t="s">
        <v>1490</v>
      </c>
      <c r="P287" s="34" t="s">
        <v>243</v>
      </c>
      <c r="Q287" s="83">
        <v>2025</v>
      </c>
    </row>
    <row r="288" spans="1:17" ht="15" x14ac:dyDescent="0.2">
      <c r="A288" s="83"/>
      <c r="B288" s="83" t="s">
        <v>264</v>
      </c>
      <c r="C288" s="133" t="s">
        <v>399</v>
      </c>
      <c r="D288" s="134" t="s">
        <v>263</v>
      </c>
      <c r="E288" s="83" t="s">
        <v>264</v>
      </c>
      <c r="F288" s="83" t="s">
        <v>265</v>
      </c>
      <c r="G288" s="135" t="s">
        <v>266</v>
      </c>
      <c r="H288" s="83" t="s">
        <v>267</v>
      </c>
      <c r="I288" s="135" t="s">
        <v>827</v>
      </c>
      <c r="K288" s="137" t="s">
        <v>1187</v>
      </c>
      <c r="L288" s="135" t="s">
        <v>827</v>
      </c>
      <c r="M288" s="135" t="s">
        <v>827</v>
      </c>
      <c r="O288" s="34" t="s">
        <v>1490</v>
      </c>
      <c r="P288" s="34" t="s">
        <v>243</v>
      </c>
      <c r="Q288" s="83">
        <v>2025</v>
      </c>
    </row>
    <row r="289" spans="1:17" ht="15" x14ac:dyDescent="0.2">
      <c r="A289" s="83"/>
      <c r="B289" s="83" t="s">
        <v>264</v>
      </c>
      <c r="C289" s="133" t="s">
        <v>400</v>
      </c>
      <c r="D289" s="134" t="s">
        <v>263</v>
      </c>
      <c r="E289" s="83" t="s">
        <v>264</v>
      </c>
      <c r="F289" s="83" t="s">
        <v>265</v>
      </c>
      <c r="G289" s="135" t="s">
        <v>266</v>
      </c>
      <c r="H289" s="83" t="s">
        <v>267</v>
      </c>
      <c r="I289" s="135" t="s">
        <v>828</v>
      </c>
      <c r="K289" s="137" t="s">
        <v>1188</v>
      </c>
      <c r="L289" s="135" t="s">
        <v>828</v>
      </c>
      <c r="M289" s="135" t="s">
        <v>828</v>
      </c>
      <c r="O289" s="34" t="s">
        <v>1490</v>
      </c>
      <c r="P289" s="34" t="s">
        <v>243</v>
      </c>
      <c r="Q289" s="83">
        <v>2025</v>
      </c>
    </row>
    <row r="290" spans="1:17" ht="15" x14ac:dyDescent="0.2">
      <c r="A290" s="83"/>
      <c r="B290" s="83" t="s">
        <v>264</v>
      </c>
      <c r="C290" s="133" t="s">
        <v>401</v>
      </c>
      <c r="D290" s="134" t="s">
        <v>263</v>
      </c>
      <c r="E290" s="83" t="s">
        <v>264</v>
      </c>
      <c r="F290" s="83" t="s">
        <v>265</v>
      </c>
      <c r="G290" s="135" t="s">
        <v>271</v>
      </c>
      <c r="H290" s="83" t="s">
        <v>267</v>
      </c>
      <c r="I290" s="135" t="s">
        <v>829</v>
      </c>
      <c r="K290" s="137" t="s">
        <v>1189</v>
      </c>
      <c r="L290" s="135" t="s">
        <v>829</v>
      </c>
      <c r="M290" s="135" t="s">
        <v>829</v>
      </c>
      <c r="O290" s="34" t="s">
        <v>1491</v>
      </c>
      <c r="P290" s="34" t="s">
        <v>243</v>
      </c>
      <c r="Q290" s="83">
        <v>2025</v>
      </c>
    </row>
    <row r="291" spans="1:17" ht="15" x14ac:dyDescent="0.2">
      <c r="A291" s="83"/>
      <c r="B291" s="83" t="s">
        <v>264</v>
      </c>
      <c r="C291" s="133" t="s">
        <v>402</v>
      </c>
      <c r="D291" s="134" t="s">
        <v>263</v>
      </c>
      <c r="E291" s="83" t="s">
        <v>264</v>
      </c>
      <c r="F291" s="83" t="s">
        <v>265</v>
      </c>
      <c r="G291" s="135" t="s">
        <v>271</v>
      </c>
      <c r="H291" s="83" t="s">
        <v>267</v>
      </c>
      <c r="I291" s="135" t="s">
        <v>830</v>
      </c>
      <c r="K291" s="137" t="s">
        <v>1190</v>
      </c>
      <c r="L291" s="135" t="s">
        <v>830</v>
      </c>
      <c r="M291" s="135" t="s">
        <v>830</v>
      </c>
      <c r="O291" s="34" t="s">
        <v>1491</v>
      </c>
      <c r="P291" s="34" t="s">
        <v>243</v>
      </c>
      <c r="Q291" s="83">
        <v>2025</v>
      </c>
    </row>
    <row r="292" spans="1:17" ht="15" x14ac:dyDescent="0.2">
      <c r="A292" s="83"/>
      <c r="B292" s="83" t="s">
        <v>264</v>
      </c>
      <c r="C292" s="133" t="s">
        <v>403</v>
      </c>
      <c r="D292" s="134" t="s">
        <v>263</v>
      </c>
      <c r="E292" s="83" t="s">
        <v>264</v>
      </c>
      <c r="F292" s="83" t="s">
        <v>265</v>
      </c>
      <c r="G292" s="135" t="s">
        <v>268</v>
      </c>
      <c r="H292" s="83" t="s">
        <v>267</v>
      </c>
      <c r="I292" s="135" t="s">
        <v>831</v>
      </c>
      <c r="K292" s="137" t="s">
        <v>1191</v>
      </c>
      <c r="L292" s="135" t="s">
        <v>831</v>
      </c>
      <c r="M292" s="135" t="s">
        <v>831</v>
      </c>
      <c r="O292" s="34" t="s">
        <v>1491</v>
      </c>
      <c r="P292" s="34" t="s">
        <v>243</v>
      </c>
      <c r="Q292" s="83">
        <v>2025</v>
      </c>
    </row>
    <row r="293" spans="1:17" ht="15" x14ac:dyDescent="0.2">
      <c r="A293" s="83"/>
      <c r="B293" s="83" t="s">
        <v>264</v>
      </c>
      <c r="C293" s="133" t="s">
        <v>404</v>
      </c>
      <c r="D293" s="134" t="s">
        <v>263</v>
      </c>
      <c r="E293" s="83" t="s">
        <v>264</v>
      </c>
      <c r="F293" s="83" t="s">
        <v>265</v>
      </c>
      <c r="G293" s="135" t="s">
        <v>268</v>
      </c>
      <c r="H293" s="83" t="s">
        <v>267</v>
      </c>
      <c r="I293" s="135" t="s">
        <v>832</v>
      </c>
      <c r="K293" s="137" t="s">
        <v>1192</v>
      </c>
      <c r="L293" s="135" t="s">
        <v>832</v>
      </c>
      <c r="M293" s="135" t="s">
        <v>832</v>
      </c>
      <c r="O293" s="34" t="s">
        <v>1491</v>
      </c>
      <c r="P293" s="34" t="s">
        <v>243</v>
      </c>
      <c r="Q293" s="83">
        <v>2025</v>
      </c>
    </row>
    <row r="294" spans="1:17" ht="15" x14ac:dyDescent="0.2">
      <c r="A294" s="83"/>
      <c r="B294" s="83" t="s">
        <v>264</v>
      </c>
      <c r="C294" s="133" t="s">
        <v>405</v>
      </c>
      <c r="D294" s="134" t="s">
        <v>263</v>
      </c>
      <c r="E294" s="83" t="s">
        <v>264</v>
      </c>
      <c r="F294" s="83" t="s">
        <v>265</v>
      </c>
      <c r="G294" s="135" t="s">
        <v>266</v>
      </c>
      <c r="H294" s="83" t="s">
        <v>267</v>
      </c>
      <c r="I294" s="135" t="s">
        <v>833</v>
      </c>
      <c r="K294" s="137" t="s">
        <v>1193</v>
      </c>
      <c r="L294" s="135" t="s">
        <v>833</v>
      </c>
      <c r="M294" s="135" t="s">
        <v>833</v>
      </c>
      <c r="O294" s="34" t="s">
        <v>1490</v>
      </c>
      <c r="P294" s="34" t="s">
        <v>243</v>
      </c>
      <c r="Q294" s="83">
        <v>2025</v>
      </c>
    </row>
    <row r="295" spans="1:17" ht="15" x14ac:dyDescent="0.2">
      <c r="A295" s="83"/>
      <c r="B295" s="83" t="s">
        <v>264</v>
      </c>
      <c r="C295" s="133" t="s">
        <v>406</v>
      </c>
      <c r="D295" s="134" t="s">
        <v>263</v>
      </c>
      <c r="E295" s="83" t="s">
        <v>264</v>
      </c>
      <c r="F295" s="83" t="s">
        <v>265</v>
      </c>
      <c r="G295" s="135" t="s">
        <v>268</v>
      </c>
      <c r="H295" s="83" t="s">
        <v>267</v>
      </c>
      <c r="I295" s="135" t="s">
        <v>834</v>
      </c>
      <c r="K295" s="137" t="s">
        <v>1194</v>
      </c>
      <c r="L295" s="135" t="s">
        <v>834</v>
      </c>
      <c r="M295" s="135" t="s">
        <v>834</v>
      </c>
      <c r="O295" s="34" t="s">
        <v>1491</v>
      </c>
      <c r="P295" s="34" t="s">
        <v>243</v>
      </c>
      <c r="Q295" s="83">
        <v>2025</v>
      </c>
    </row>
    <row r="296" spans="1:17" ht="15" x14ac:dyDescent="0.2">
      <c r="A296" s="83"/>
      <c r="B296" s="83" t="s">
        <v>264</v>
      </c>
      <c r="C296" s="133" t="s">
        <v>407</v>
      </c>
      <c r="D296" s="134" t="s">
        <v>263</v>
      </c>
      <c r="E296" s="83" t="s">
        <v>264</v>
      </c>
      <c r="F296" s="83" t="s">
        <v>265</v>
      </c>
      <c r="G296" s="135" t="s">
        <v>269</v>
      </c>
      <c r="H296" s="83" t="s">
        <v>267</v>
      </c>
      <c r="I296" s="135" t="s">
        <v>835</v>
      </c>
      <c r="K296" s="137" t="s">
        <v>1195</v>
      </c>
      <c r="L296" s="135" t="s">
        <v>835</v>
      </c>
      <c r="M296" s="135" t="s">
        <v>835</v>
      </c>
      <c r="O296" s="34" t="s">
        <v>1490</v>
      </c>
      <c r="P296" s="34" t="s">
        <v>243</v>
      </c>
      <c r="Q296" s="83">
        <v>2025</v>
      </c>
    </row>
    <row r="297" spans="1:17" ht="15" x14ac:dyDescent="0.2">
      <c r="A297" s="83"/>
      <c r="B297" s="83" t="s">
        <v>264</v>
      </c>
      <c r="C297" s="133" t="s">
        <v>408</v>
      </c>
      <c r="D297" s="134" t="s">
        <v>263</v>
      </c>
      <c r="E297" s="83" t="s">
        <v>264</v>
      </c>
      <c r="F297" s="83" t="s">
        <v>265</v>
      </c>
      <c r="G297" s="135" t="s">
        <v>266</v>
      </c>
      <c r="H297" s="83" t="s">
        <v>267</v>
      </c>
      <c r="I297" s="135" t="s">
        <v>836</v>
      </c>
      <c r="K297" s="137" t="s">
        <v>1196</v>
      </c>
      <c r="L297" s="135" t="s">
        <v>836</v>
      </c>
      <c r="M297" s="135" t="s">
        <v>836</v>
      </c>
      <c r="O297" s="34" t="s">
        <v>1490</v>
      </c>
      <c r="P297" s="34" t="s">
        <v>243</v>
      </c>
      <c r="Q297" s="83">
        <v>2025</v>
      </c>
    </row>
    <row r="298" spans="1:17" ht="15" x14ac:dyDescent="0.2">
      <c r="A298" s="83"/>
      <c r="B298" s="83" t="s">
        <v>264</v>
      </c>
      <c r="C298" s="133" t="s">
        <v>409</v>
      </c>
      <c r="D298" s="134" t="s">
        <v>263</v>
      </c>
      <c r="E298" s="83" t="s">
        <v>264</v>
      </c>
      <c r="F298" s="83" t="s">
        <v>265</v>
      </c>
      <c r="G298" s="135" t="s">
        <v>266</v>
      </c>
      <c r="H298" s="83" t="s">
        <v>267</v>
      </c>
      <c r="I298" s="135" t="s">
        <v>837</v>
      </c>
      <c r="K298" s="137" t="s">
        <v>1197</v>
      </c>
      <c r="L298" s="135" t="s">
        <v>837</v>
      </c>
      <c r="M298" s="135" t="s">
        <v>837</v>
      </c>
      <c r="O298" s="34" t="s">
        <v>1490</v>
      </c>
      <c r="P298" s="34" t="s">
        <v>243</v>
      </c>
      <c r="Q298" s="83">
        <v>2025</v>
      </c>
    </row>
    <row r="299" spans="1:17" ht="15" x14ac:dyDescent="0.2">
      <c r="A299" s="83"/>
      <c r="B299" s="83" t="s">
        <v>264</v>
      </c>
      <c r="C299" s="133" t="s">
        <v>410</v>
      </c>
      <c r="D299" s="134" t="s">
        <v>263</v>
      </c>
      <c r="E299" s="83" t="s">
        <v>264</v>
      </c>
      <c r="F299" s="83" t="s">
        <v>265</v>
      </c>
      <c r="G299" s="135" t="s">
        <v>266</v>
      </c>
      <c r="H299" s="83" t="s">
        <v>267</v>
      </c>
      <c r="I299" s="135" t="s">
        <v>838</v>
      </c>
      <c r="K299" s="137" t="s">
        <v>1198</v>
      </c>
      <c r="L299" s="135" t="s">
        <v>838</v>
      </c>
      <c r="M299" s="135" t="s">
        <v>838</v>
      </c>
      <c r="O299" s="34" t="s">
        <v>1490</v>
      </c>
      <c r="P299" s="34" t="s">
        <v>243</v>
      </c>
      <c r="Q299" s="83">
        <v>2025</v>
      </c>
    </row>
    <row r="300" spans="1:17" ht="15" x14ac:dyDescent="0.2">
      <c r="A300" s="83"/>
      <c r="B300" s="83" t="s">
        <v>264</v>
      </c>
      <c r="C300" s="133" t="s">
        <v>411</v>
      </c>
      <c r="D300" s="134" t="s">
        <v>263</v>
      </c>
      <c r="E300" s="83" t="s">
        <v>264</v>
      </c>
      <c r="F300" s="83" t="s">
        <v>265</v>
      </c>
      <c r="G300" s="135" t="s">
        <v>266</v>
      </c>
      <c r="H300" s="83" t="s">
        <v>267</v>
      </c>
      <c r="I300" s="135" t="s">
        <v>839</v>
      </c>
      <c r="K300" s="137" t="s">
        <v>1199</v>
      </c>
      <c r="L300" s="135" t="s">
        <v>839</v>
      </c>
      <c r="M300" s="135" t="s">
        <v>839</v>
      </c>
      <c r="O300" s="34" t="s">
        <v>1490</v>
      </c>
      <c r="P300" s="34" t="s">
        <v>243</v>
      </c>
      <c r="Q300" s="83">
        <v>2025</v>
      </c>
    </row>
    <row r="301" spans="1:17" ht="15" x14ac:dyDescent="0.2">
      <c r="A301" s="83"/>
      <c r="B301" s="83" t="s">
        <v>264</v>
      </c>
      <c r="C301" s="133" t="s">
        <v>412</v>
      </c>
      <c r="D301" s="134" t="s">
        <v>263</v>
      </c>
      <c r="E301" s="83" t="s">
        <v>264</v>
      </c>
      <c r="F301" s="83" t="s">
        <v>265</v>
      </c>
      <c r="G301" s="135" t="s">
        <v>268</v>
      </c>
      <c r="H301" s="83" t="s">
        <v>267</v>
      </c>
      <c r="I301" s="135" t="s">
        <v>840</v>
      </c>
      <c r="K301" s="137" t="s">
        <v>1200</v>
      </c>
      <c r="L301" s="135" t="s">
        <v>840</v>
      </c>
      <c r="M301" s="135" t="s">
        <v>840</v>
      </c>
      <c r="O301" s="34" t="s">
        <v>1491</v>
      </c>
      <c r="P301" s="34" t="s">
        <v>243</v>
      </c>
      <c r="Q301" s="83">
        <v>2025</v>
      </c>
    </row>
    <row r="302" spans="1:17" ht="15" x14ac:dyDescent="0.2">
      <c r="A302" s="83"/>
      <c r="B302" s="83" t="s">
        <v>264</v>
      </c>
      <c r="C302" s="133" t="s">
        <v>413</v>
      </c>
      <c r="D302" s="134" t="s">
        <v>263</v>
      </c>
      <c r="E302" s="83" t="s">
        <v>264</v>
      </c>
      <c r="F302" s="83" t="s">
        <v>265</v>
      </c>
      <c r="G302" s="135" t="s">
        <v>266</v>
      </c>
      <c r="H302" s="83" t="s">
        <v>267</v>
      </c>
      <c r="I302" s="135" t="s">
        <v>841</v>
      </c>
      <c r="K302" s="137" t="s">
        <v>1201</v>
      </c>
      <c r="L302" s="135" t="s">
        <v>841</v>
      </c>
      <c r="M302" s="135" t="s">
        <v>841</v>
      </c>
      <c r="O302" s="34" t="s">
        <v>1490</v>
      </c>
      <c r="P302" s="34" t="s">
        <v>243</v>
      </c>
      <c r="Q302" s="83">
        <v>2025</v>
      </c>
    </row>
    <row r="303" spans="1:17" ht="15" x14ac:dyDescent="0.2">
      <c r="A303" s="83"/>
      <c r="B303" s="83" t="s">
        <v>264</v>
      </c>
      <c r="C303" s="133" t="s">
        <v>414</v>
      </c>
      <c r="D303" s="134" t="s">
        <v>263</v>
      </c>
      <c r="E303" s="83" t="s">
        <v>264</v>
      </c>
      <c r="F303" s="83" t="s">
        <v>265</v>
      </c>
      <c r="G303" s="135" t="s">
        <v>268</v>
      </c>
      <c r="H303" s="83" t="s">
        <v>267</v>
      </c>
      <c r="I303" s="135" t="s">
        <v>842</v>
      </c>
      <c r="K303" s="137" t="s">
        <v>1202</v>
      </c>
      <c r="L303" s="135" t="s">
        <v>842</v>
      </c>
      <c r="M303" s="135" t="s">
        <v>842</v>
      </c>
      <c r="O303" s="34" t="s">
        <v>1491</v>
      </c>
      <c r="P303" s="34" t="s">
        <v>243</v>
      </c>
      <c r="Q303" s="83">
        <v>2025</v>
      </c>
    </row>
    <row r="304" spans="1:17" ht="15" x14ac:dyDescent="0.2">
      <c r="A304" s="83"/>
      <c r="B304" s="83" t="s">
        <v>264</v>
      </c>
      <c r="C304" s="133" t="s">
        <v>415</v>
      </c>
      <c r="D304" s="134" t="s">
        <v>263</v>
      </c>
      <c r="E304" s="83" t="s">
        <v>264</v>
      </c>
      <c r="F304" s="83" t="s">
        <v>265</v>
      </c>
      <c r="G304" s="135" t="s">
        <v>268</v>
      </c>
      <c r="H304" s="83" t="s">
        <v>267</v>
      </c>
      <c r="I304" s="135" t="s">
        <v>843</v>
      </c>
      <c r="K304" s="137" t="s">
        <v>1203</v>
      </c>
      <c r="L304" s="135" t="s">
        <v>843</v>
      </c>
      <c r="M304" s="135" t="s">
        <v>843</v>
      </c>
      <c r="O304" s="34" t="s">
        <v>1491</v>
      </c>
      <c r="P304" s="34" t="s">
        <v>243</v>
      </c>
      <c r="Q304" s="83">
        <v>2025</v>
      </c>
    </row>
    <row r="305" spans="1:17" ht="15" x14ac:dyDescent="0.2">
      <c r="A305" s="83"/>
      <c r="B305" s="83" t="s">
        <v>264</v>
      </c>
      <c r="C305" s="133" t="s">
        <v>416</v>
      </c>
      <c r="D305" s="134" t="s">
        <v>263</v>
      </c>
      <c r="E305" s="83" t="s">
        <v>264</v>
      </c>
      <c r="F305" s="83" t="s">
        <v>265</v>
      </c>
      <c r="G305" s="135" t="s">
        <v>268</v>
      </c>
      <c r="H305" s="83" t="s">
        <v>267</v>
      </c>
      <c r="I305" s="135" t="s">
        <v>844</v>
      </c>
      <c r="K305" s="137" t="s">
        <v>1204</v>
      </c>
      <c r="L305" s="135" t="s">
        <v>844</v>
      </c>
      <c r="M305" s="135" t="s">
        <v>844</v>
      </c>
      <c r="O305" s="34" t="s">
        <v>1491</v>
      </c>
      <c r="P305" s="34" t="s">
        <v>243</v>
      </c>
      <c r="Q305" s="83">
        <v>2025</v>
      </c>
    </row>
    <row r="306" spans="1:17" ht="15" x14ac:dyDescent="0.2">
      <c r="A306" s="83"/>
      <c r="B306" s="83" t="s">
        <v>264</v>
      </c>
      <c r="C306" s="133" t="s">
        <v>417</v>
      </c>
      <c r="D306" s="134" t="s">
        <v>263</v>
      </c>
      <c r="E306" s="83" t="s">
        <v>264</v>
      </c>
      <c r="F306" s="83" t="s">
        <v>265</v>
      </c>
      <c r="G306" s="135" t="s">
        <v>268</v>
      </c>
      <c r="H306" s="83" t="s">
        <v>267</v>
      </c>
      <c r="I306" s="135" t="s">
        <v>845</v>
      </c>
      <c r="K306" s="137" t="s">
        <v>1205</v>
      </c>
      <c r="L306" s="135" t="s">
        <v>845</v>
      </c>
      <c r="M306" s="135" t="s">
        <v>845</v>
      </c>
      <c r="O306" s="34" t="s">
        <v>1491</v>
      </c>
      <c r="P306" s="34" t="s">
        <v>243</v>
      </c>
      <c r="Q306" s="83">
        <v>2025</v>
      </c>
    </row>
    <row r="307" spans="1:17" ht="15" x14ac:dyDescent="0.2">
      <c r="A307" s="83"/>
      <c r="B307" s="83" t="s">
        <v>264</v>
      </c>
      <c r="C307" s="133" t="s">
        <v>418</v>
      </c>
      <c r="D307" s="134" t="s">
        <v>263</v>
      </c>
      <c r="E307" s="83" t="s">
        <v>264</v>
      </c>
      <c r="F307" s="83" t="s">
        <v>265</v>
      </c>
      <c r="G307" s="135" t="s">
        <v>271</v>
      </c>
      <c r="H307" s="83" t="s">
        <v>267</v>
      </c>
      <c r="I307" s="135" t="s">
        <v>846</v>
      </c>
      <c r="K307" s="137" t="s">
        <v>1206</v>
      </c>
      <c r="L307" s="135" t="s">
        <v>846</v>
      </c>
      <c r="M307" s="135" t="s">
        <v>846</v>
      </c>
      <c r="O307" s="34" t="s">
        <v>1491</v>
      </c>
      <c r="P307" s="34" t="s">
        <v>243</v>
      </c>
      <c r="Q307" s="83">
        <v>2025</v>
      </c>
    </row>
    <row r="308" spans="1:17" ht="15" x14ac:dyDescent="0.2">
      <c r="A308" s="83"/>
      <c r="B308" s="83" t="s">
        <v>264</v>
      </c>
      <c r="C308" s="133" t="s">
        <v>419</v>
      </c>
      <c r="D308" s="134" t="s">
        <v>263</v>
      </c>
      <c r="E308" s="83" t="s">
        <v>264</v>
      </c>
      <c r="F308" s="83" t="s">
        <v>265</v>
      </c>
      <c r="G308" s="135" t="s">
        <v>268</v>
      </c>
      <c r="H308" s="83" t="s">
        <v>267</v>
      </c>
      <c r="I308" s="135" t="s">
        <v>847</v>
      </c>
      <c r="K308" s="137" t="s">
        <v>1207</v>
      </c>
      <c r="L308" s="135" t="s">
        <v>847</v>
      </c>
      <c r="M308" s="135" t="s">
        <v>847</v>
      </c>
      <c r="O308" s="34" t="s">
        <v>1491</v>
      </c>
      <c r="P308" s="34" t="s">
        <v>243</v>
      </c>
      <c r="Q308" s="83">
        <v>2025</v>
      </c>
    </row>
    <row r="309" spans="1:17" ht="15" x14ac:dyDescent="0.2">
      <c r="A309" s="83"/>
      <c r="B309" s="83" t="s">
        <v>264</v>
      </c>
      <c r="C309" s="133" t="s">
        <v>420</v>
      </c>
      <c r="D309" s="134" t="s">
        <v>263</v>
      </c>
      <c r="E309" s="83" t="s">
        <v>264</v>
      </c>
      <c r="F309" s="83" t="s">
        <v>265</v>
      </c>
      <c r="G309" s="135" t="s">
        <v>268</v>
      </c>
      <c r="H309" s="83" t="s">
        <v>267</v>
      </c>
      <c r="I309" s="135" t="s">
        <v>848</v>
      </c>
      <c r="K309" s="137" t="s">
        <v>1208</v>
      </c>
      <c r="L309" s="135" t="s">
        <v>848</v>
      </c>
      <c r="M309" s="135" t="s">
        <v>848</v>
      </c>
      <c r="O309" s="34" t="s">
        <v>1491</v>
      </c>
      <c r="P309" s="34" t="s">
        <v>243</v>
      </c>
      <c r="Q309" s="83">
        <v>2025</v>
      </c>
    </row>
    <row r="310" spans="1:17" ht="15" x14ac:dyDescent="0.2">
      <c r="A310" s="83"/>
      <c r="B310" s="83" t="s">
        <v>264</v>
      </c>
      <c r="C310" s="133" t="s">
        <v>421</v>
      </c>
      <c r="D310" s="134" t="s">
        <v>263</v>
      </c>
      <c r="E310" s="83" t="s">
        <v>264</v>
      </c>
      <c r="F310" s="83" t="s">
        <v>265</v>
      </c>
      <c r="G310" s="135" t="s">
        <v>268</v>
      </c>
      <c r="H310" s="83" t="s">
        <v>267</v>
      </c>
      <c r="I310" s="135" t="s">
        <v>849</v>
      </c>
      <c r="K310" s="137" t="s">
        <v>1209</v>
      </c>
      <c r="L310" s="135" t="s">
        <v>849</v>
      </c>
      <c r="M310" s="135" t="s">
        <v>849</v>
      </c>
      <c r="O310" s="34" t="s">
        <v>1491</v>
      </c>
      <c r="P310" s="34" t="s">
        <v>243</v>
      </c>
      <c r="Q310" s="83">
        <v>2025</v>
      </c>
    </row>
    <row r="311" spans="1:17" ht="15" x14ac:dyDescent="0.2">
      <c r="A311" s="83"/>
      <c r="B311" s="83" t="s">
        <v>264</v>
      </c>
      <c r="C311" s="133" t="s">
        <v>422</v>
      </c>
      <c r="D311" s="134" t="s">
        <v>263</v>
      </c>
      <c r="E311" s="83" t="s">
        <v>264</v>
      </c>
      <c r="F311" s="83" t="s">
        <v>265</v>
      </c>
      <c r="G311" s="135" t="s">
        <v>271</v>
      </c>
      <c r="H311" s="83" t="s">
        <v>267</v>
      </c>
      <c r="I311" s="135" t="s">
        <v>850</v>
      </c>
      <c r="K311" s="137" t="s">
        <v>1210</v>
      </c>
      <c r="L311" s="135" t="s">
        <v>850</v>
      </c>
      <c r="M311" s="135" t="s">
        <v>850</v>
      </c>
      <c r="O311" s="34" t="s">
        <v>1491</v>
      </c>
      <c r="P311" s="34" t="s">
        <v>243</v>
      </c>
      <c r="Q311" s="83">
        <v>2025</v>
      </c>
    </row>
    <row r="312" spans="1:17" ht="15" x14ac:dyDescent="0.2">
      <c r="A312" s="83"/>
      <c r="B312" s="83" t="s">
        <v>264</v>
      </c>
      <c r="C312" s="133" t="s">
        <v>423</v>
      </c>
      <c r="D312" s="134" t="s">
        <v>263</v>
      </c>
      <c r="E312" s="83" t="s">
        <v>264</v>
      </c>
      <c r="F312" s="83" t="s">
        <v>265</v>
      </c>
      <c r="G312" s="135" t="s">
        <v>268</v>
      </c>
      <c r="H312" s="83" t="s">
        <v>267</v>
      </c>
      <c r="I312" s="135" t="s">
        <v>851</v>
      </c>
      <c r="K312" s="137" t="s">
        <v>1211</v>
      </c>
      <c r="L312" s="135" t="s">
        <v>851</v>
      </c>
      <c r="M312" s="135" t="s">
        <v>851</v>
      </c>
      <c r="O312" s="34" t="s">
        <v>1491</v>
      </c>
      <c r="P312" s="34" t="s">
        <v>243</v>
      </c>
      <c r="Q312" s="83">
        <v>2025</v>
      </c>
    </row>
    <row r="313" spans="1:17" ht="15" x14ac:dyDescent="0.2">
      <c r="A313" s="83"/>
      <c r="B313" s="83" t="s">
        <v>264</v>
      </c>
      <c r="C313" s="133" t="s">
        <v>424</v>
      </c>
      <c r="D313" s="134" t="s">
        <v>263</v>
      </c>
      <c r="E313" s="83" t="s">
        <v>264</v>
      </c>
      <c r="F313" s="83" t="s">
        <v>265</v>
      </c>
      <c r="G313" s="135" t="s">
        <v>269</v>
      </c>
      <c r="H313" s="83" t="s">
        <v>267</v>
      </c>
      <c r="I313" s="135" t="s">
        <v>852</v>
      </c>
      <c r="K313" s="137" t="s">
        <v>1212</v>
      </c>
      <c r="L313" s="135" t="s">
        <v>852</v>
      </c>
      <c r="M313" s="135" t="s">
        <v>852</v>
      </c>
      <c r="O313" s="34" t="s">
        <v>1490</v>
      </c>
      <c r="P313" s="34" t="s">
        <v>243</v>
      </c>
      <c r="Q313" s="83">
        <v>2025</v>
      </c>
    </row>
    <row r="314" spans="1:17" ht="15" x14ac:dyDescent="0.2">
      <c r="A314" s="83"/>
      <c r="B314" s="83" t="s">
        <v>264</v>
      </c>
      <c r="C314" s="133" t="s">
        <v>425</v>
      </c>
      <c r="D314" s="134" t="s">
        <v>263</v>
      </c>
      <c r="E314" s="83" t="s">
        <v>264</v>
      </c>
      <c r="F314" s="83" t="s">
        <v>265</v>
      </c>
      <c r="G314" s="135" t="s">
        <v>268</v>
      </c>
      <c r="H314" s="83" t="s">
        <v>267</v>
      </c>
      <c r="I314" s="135" t="s">
        <v>853</v>
      </c>
      <c r="K314" s="137" t="s">
        <v>1213</v>
      </c>
      <c r="L314" s="135" t="s">
        <v>853</v>
      </c>
      <c r="M314" s="135" t="s">
        <v>853</v>
      </c>
      <c r="O314" s="34" t="s">
        <v>1491</v>
      </c>
      <c r="P314" s="34" t="s">
        <v>243</v>
      </c>
      <c r="Q314" s="83">
        <v>2025</v>
      </c>
    </row>
    <row r="315" spans="1:17" ht="15" x14ac:dyDescent="0.2">
      <c r="A315" s="83"/>
      <c r="B315" s="83" t="s">
        <v>264</v>
      </c>
      <c r="C315" s="133" t="s">
        <v>426</v>
      </c>
      <c r="D315" s="134" t="s">
        <v>263</v>
      </c>
      <c r="E315" s="83" t="s">
        <v>264</v>
      </c>
      <c r="F315" s="83" t="s">
        <v>265</v>
      </c>
      <c r="G315" s="135" t="s">
        <v>271</v>
      </c>
      <c r="H315" s="83" t="s">
        <v>267</v>
      </c>
      <c r="I315" s="135" t="s">
        <v>854</v>
      </c>
      <c r="K315" s="137" t="s">
        <v>1214</v>
      </c>
      <c r="L315" s="135" t="s">
        <v>854</v>
      </c>
      <c r="M315" s="135" t="s">
        <v>854</v>
      </c>
      <c r="O315" s="34" t="s">
        <v>1491</v>
      </c>
      <c r="P315" s="34" t="s">
        <v>243</v>
      </c>
      <c r="Q315" s="83">
        <v>2025</v>
      </c>
    </row>
    <row r="316" spans="1:17" ht="15" x14ac:dyDescent="0.2">
      <c r="A316" s="83"/>
      <c r="B316" s="83" t="s">
        <v>264</v>
      </c>
      <c r="C316" s="133" t="s">
        <v>427</v>
      </c>
      <c r="D316" s="134" t="s">
        <v>263</v>
      </c>
      <c r="E316" s="83" t="s">
        <v>264</v>
      </c>
      <c r="F316" s="83" t="s">
        <v>265</v>
      </c>
      <c r="G316" s="135" t="s">
        <v>266</v>
      </c>
      <c r="H316" s="83" t="s">
        <v>267</v>
      </c>
      <c r="I316" s="135" t="s">
        <v>855</v>
      </c>
      <c r="K316" s="137" t="s">
        <v>1215</v>
      </c>
      <c r="L316" s="135" t="s">
        <v>855</v>
      </c>
      <c r="M316" s="135" t="s">
        <v>855</v>
      </c>
      <c r="O316" s="34" t="s">
        <v>1490</v>
      </c>
      <c r="P316" s="34" t="s">
        <v>243</v>
      </c>
      <c r="Q316" s="83">
        <v>2025</v>
      </c>
    </row>
    <row r="317" spans="1:17" ht="15" x14ac:dyDescent="0.2">
      <c r="A317" s="83"/>
      <c r="B317" s="83" t="s">
        <v>264</v>
      </c>
      <c r="C317" s="133" t="s">
        <v>428</v>
      </c>
      <c r="D317" s="134" t="s">
        <v>263</v>
      </c>
      <c r="E317" s="83" t="s">
        <v>264</v>
      </c>
      <c r="F317" s="83" t="s">
        <v>265</v>
      </c>
      <c r="G317" s="135" t="s">
        <v>268</v>
      </c>
      <c r="H317" s="83" t="s">
        <v>267</v>
      </c>
      <c r="I317" s="135" t="s">
        <v>856</v>
      </c>
      <c r="K317" s="137" t="s">
        <v>1216</v>
      </c>
      <c r="L317" s="135" t="s">
        <v>856</v>
      </c>
      <c r="M317" s="135" t="s">
        <v>856</v>
      </c>
      <c r="O317" s="34" t="s">
        <v>1491</v>
      </c>
      <c r="P317" s="34" t="s">
        <v>243</v>
      </c>
      <c r="Q317" s="83">
        <v>2025</v>
      </c>
    </row>
    <row r="318" spans="1:17" ht="15" x14ac:dyDescent="0.2">
      <c r="A318" s="83"/>
      <c r="B318" s="83" t="s">
        <v>264</v>
      </c>
      <c r="C318" s="133" t="s">
        <v>429</v>
      </c>
      <c r="D318" s="134" t="s">
        <v>263</v>
      </c>
      <c r="E318" s="83" t="s">
        <v>264</v>
      </c>
      <c r="F318" s="83" t="s">
        <v>265</v>
      </c>
      <c r="G318" s="135" t="s">
        <v>268</v>
      </c>
      <c r="H318" s="83" t="s">
        <v>267</v>
      </c>
      <c r="I318" s="135" t="s">
        <v>857</v>
      </c>
      <c r="K318" s="137" t="s">
        <v>1217</v>
      </c>
      <c r="L318" s="135" t="s">
        <v>857</v>
      </c>
      <c r="M318" s="135" t="s">
        <v>857</v>
      </c>
      <c r="O318" s="34" t="s">
        <v>1491</v>
      </c>
      <c r="P318" s="34" t="s">
        <v>243</v>
      </c>
      <c r="Q318" s="83">
        <v>2025</v>
      </c>
    </row>
    <row r="319" spans="1:17" ht="15" x14ac:dyDescent="0.2">
      <c r="A319" s="83"/>
      <c r="B319" s="83" t="s">
        <v>264</v>
      </c>
      <c r="C319" s="133" t="s">
        <v>430</v>
      </c>
      <c r="D319" s="134" t="s">
        <v>263</v>
      </c>
      <c r="E319" s="83" t="s">
        <v>264</v>
      </c>
      <c r="F319" s="83" t="s">
        <v>265</v>
      </c>
      <c r="G319" s="135" t="s">
        <v>271</v>
      </c>
      <c r="H319" s="83" t="s">
        <v>267</v>
      </c>
      <c r="I319" s="135" t="s">
        <v>858</v>
      </c>
      <c r="K319" s="137" t="s">
        <v>1218</v>
      </c>
      <c r="L319" s="135" t="s">
        <v>858</v>
      </c>
      <c r="M319" s="135" t="s">
        <v>858</v>
      </c>
      <c r="O319" s="34" t="s">
        <v>1491</v>
      </c>
      <c r="P319" s="34" t="s">
        <v>243</v>
      </c>
      <c r="Q319" s="83">
        <v>2025</v>
      </c>
    </row>
    <row r="320" spans="1:17" ht="15" x14ac:dyDescent="0.2">
      <c r="A320" s="83"/>
      <c r="B320" s="83" t="s">
        <v>264</v>
      </c>
      <c r="C320" s="133" t="s">
        <v>431</v>
      </c>
      <c r="D320" s="134" t="s">
        <v>263</v>
      </c>
      <c r="E320" s="83" t="s">
        <v>264</v>
      </c>
      <c r="F320" s="83" t="s">
        <v>265</v>
      </c>
      <c r="G320" s="135" t="s">
        <v>266</v>
      </c>
      <c r="H320" s="83" t="s">
        <v>267</v>
      </c>
      <c r="I320" s="135" t="s">
        <v>859</v>
      </c>
      <c r="K320" s="137" t="s">
        <v>1219</v>
      </c>
      <c r="L320" s="135" t="s">
        <v>859</v>
      </c>
      <c r="M320" s="135" t="s">
        <v>859</v>
      </c>
      <c r="O320" s="34" t="s">
        <v>1490</v>
      </c>
      <c r="P320" s="34" t="s">
        <v>243</v>
      </c>
      <c r="Q320" s="83">
        <v>2025</v>
      </c>
    </row>
    <row r="321" spans="1:17" ht="15" x14ac:dyDescent="0.2">
      <c r="A321" s="83"/>
      <c r="B321" s="83" t="s">
        <v>264</v>
      </c>
      <c r="C321" s="133" t="s">
        <v>432</v>
      </c>
      <c r="D321" s="134" t="s">
        <v>263</v>
      </c>
      <c r="E321" s="83" t="s">
        <v>264</v>
      </c>
      <c r="F321" s="83" t="s">
        <v>265</v>
      </c>
      <c r="G321" s="135" t="s">
        <v>271</v>
      </c>
      <c r="H321" s="83" t="s">
        <v>267</v>
      </c>
      <c r="I321" s="135" t="s">
        <v>860</v>
      </c>
      <c r="K321" s="137" t="s">
        <v>1220</v>
      </c>
      <c r="L321" s="135" t="s">
        <v>860</v>
      </c>
      <c r="M321" s="135" t="s">
        <v>860</v>
      </c>
      <c r="O321" s="34" t="s">
        <v>1491</v>
      </c>
      <c r="P321" s="34" t="s">
        <v>243</v>
      </c>
      <c r="Q321" s="83">
        <v>2025</v>
      </c>
    </row>
    <row r="322" spans="1:17" ht="15" x14ac:dyDescent="0.2">
      <c r="A322" s="83"/>
      <c r="B322" s="83" t="s">
        <v>264</v>
      </c>
      <c r="C322" s="133" t="s">
        <v>433</v>
      </c>
      <c r="D322" s="134" t="s">
        <v>263</v>
      </c>
      <c r="E322" s="83" t="s">
        <v>264</v>
      </c>
      <c r="F322" s="83" t="s">
        <v>265</v>
      </c>
      <c r="G322" s="135" t="s">
        <v>268</v>
      </c>
      <c r="H322" s="83" t="s">
        <v>267</v>
      </c>
      <c r="I322" s="135" t="s">
        <v>861</v>
      </c>
      <c r="K322" s="137" t="s">
        <v>1221</v>
      </c>
      <c r="L322" s="135" t="s">
        <v>861</v>
      </c>
      <c r="M322" s="135" t="s">
        <v>861</v>
      </c>
      <c r="O322" s="34" t="s">
        <v>1491</v>
      </c>
      <c r="P322" s="34" t="s">
        <v>243</v>
      </c>
      <c r="Q322" s="83">
        <v>2025</v>
      </c>
    </row>
    <row r="323" spans="1:17" ht="15" x14ac:dyDescent="0.2">
      <c r="A323" s="83"/>
      <c r="B323" s="83" t="s">
        <v>264</v>
      </c>
      <c r="C323" s="133" t="s">
        <v>434</v>
      </c>
      <c r="D323" s="134" t="s">
        <v>263</v>
      </c>
      <c r="E323" s="83" t="s">
        <v>264</v>
      </c>
      <c r="F323" s="83" t="s">
        <v>265</v>
      </c>
      <c r="G323" s="135" t="s">
        <v>271</v>
      </c>
      <c r="H323" s="83" t="s">
        <v>267</v>
      </c>
      <c r="I323" s="135" t="s">
        <v>862</v>
      </c>
      <c r="K323" s="137" t="s">
        <v>1222</v>
      </c>
      <c r="L323" s="135" t="s">
        <v>862</v>
      </c>
      <c r="M323" s="135" t="s">
        <v>862</v>
      </c>
      <c r="O323" s="34" t="s">
        <v>1491</v>
      </c>
      <c r="P323" s="34" t="s">
        <v>243</v>
      </c>
      <c r="Q323" s="83">
        <v>2025</v>
      </c>
    </row>
    <row r="324" spans="1:17" ht="15" x14ac:dyDescent="0.2">
      <c r="A324" s="83"/>
      <c r="B324" s="83" t="s">
        <v>264</v>
      </c>
      <c r="C324" s="133" t="s">
        <v>435</v>
      </c>
      <c r="D324" s="134" t="s">
        <v>263</v>
      </c>
      <c r="E324" s="83" t="s">
        <v>264</v>
      </c>
      <c r="F324" s="83" t="s">
        <v>265</v>
      </c>
      <c r="G324" s="135" t="s">
        <v>269</v>
      </c>
      <c r="H324" s="83" t="s">
        <v>267</v>
      </c>
      <c r="I324" s="135" t="s">
        <v>863</v>
      </c>
      <c r="K324" s="137" t="s">
        <v>1223</v>
      </c>
      <c r="L324" s="135" t="s">
        <v>863</v>
      </c>
      <c r="M324" s="135" t="s">
        <v>863</v>
      </c>
      <c r="O324" s="34" t="s">
        <v>1490</v>
      </c>
      <c r="P324" s="34" t="s">
        <v>243</v>
      </c>
      <c r="Q324" s="83">
        <v>2025</v>
      </c>
    </row>
    <row r="325" spans="1:17" ht="15" x14ac:dyDescent="0.2">
      <c r="A325" s="83"/>
      <c r="B325" s="83" t="s">
        <v>264</v>
      </c>
      <c r="C325" s="133" t="s">
        <v>436</v>
      </c>
      <c r="D325" s="134" t="s">
        <v>263</v>
      </c>
      <c r="E325" s="83" t="s">
        <v>264</v>
      </c>
      <c r="F325" s="83" t="s">
        <v>265</v>
      </c>
      <c r="G325" s="135" t="s">
        <v>271</v>
      </c>
      <c r="H325" s="83" t="s">
        <v>267</v>
      </c>
      <c r="I325" s="135" t="s">
        <v>864</v>
      </c>
      <c r="K325" s="137" t="s">
        <v>1224</v>
      </c>
      <c r="L325" s="135" t="s">
        <v>864</v>
      </c>
      <c r="M325" s="135" t="s">
        <v>864</v>
      </c>
      <c r="O325" s="34" t="s">
        <v>1491</v>
      </c>
      <c r="P325" s="34" t="s">
        <v>243</v>
      </c>
      <c r="Q325" s="83">
        <v>2025</v>
      </c>
    </row>
    <row r="326" spans="1:17" ht="15" x14ac:dyDescent="0.2">
      <c r="A326" s="83"/>
      <c r="B326" s="83" t="s">
        <v>264</v>
      </c>
      <c r="C326" s="133" t="s">
        <v>437</v>
      </c>
      <c r="D326" s="134" t="s">
        <v>263</v>
      </c>
      <c r="E326" s="83" t="s">
        <v>264</v>
      </c>
      <c r="F326" s="83" t="s">
        <v>265</v>
      </c>
      <c r="G326" s="135" t="s">
        <v>268</v>
      </c>
      <c r="H326" s="83" t="s">
        <v>267</v>
      </c>
      <c r="I326" s="135" t="s">
        <v>865</v>
      </c>
      <c r="K326" s="137" t="s">
        <v>1225</v>
      </c>
      <c r="L326" s="135" t="s">
        <v>865</v>
      </c>
      <c r="M326" s="135" t="s">
        <v>865</v>
      </c>
      <c r="O326" s="34" t="s">
        <v>1491</v>
      </c>
      <c r="P326" s="34" t="s">
        <v>243</v>
      </c>
      <c r="Q326" s="83">
        <v>2025</v>
      </c>
    </row>
    <row r="327" spans="1:17" ht="15" x14ac:dyDescent="0.2">
      <c r="A327" s="83"/>
      <c r="B327" s="83" t="s">
        <v>264</v>
      </c>
      <c r="C327" s="133" t="s">
        <v>438</v>
      </c>
      <c r="D327" s="134" t="s">
        <v>263</v>
      </c>
      <c r="E327" s="83" t="s">
        <v>264</v>
      </c>
      <c r="F327" s="83" t="s">
        <v>265</v>
      </c>
      <c r="G327" s="135" t="s">
        <v>266</v>
      </c>
      <c r="H327" s="83" t="s">
        <v>267</v>
      </c>
      <c r="I327" s="135" t="s">
        <v>866</v>
      </c>
      <c r="K327" s="137" t="s">
        <v>1226</v>
      </c>
      <c r="L327" s="135" t="s">
        <v>866</v>
      </c>
      <c r="M327" s="135" t="s">
        <v>866</v>
      </c>
      <c r="O327" s="34" t="s">
        <v>1490</v>
      </c>
      <c r="P327" s="34" t="s">
        <v>243</v>
      </c>
      <c r="Q327" s="83">
        <v>2025</v>
      </c>
    </row>
    <row r="328" spans="1:17" ht="15" x14ac:dyDescent="0.2">
      <c r="A328" s="83"/>
      <c r="B328" s="83" t="s">
        <v>264</v>
      </c>
      <c r="C328" s="133" t="s">
        <v>439</v>
      </c>
      <c r="D328" s="134" t="s">
        <v>263</v>
      </c>
      <c r="E328" s="83" t="s">
        <v>264</v>
      </c>
      <c r="F328" s="83" t="s">
        <v>265</v>
      </c>
      <c r="G328" s="135" t="s">
        <v>269</v>
      </c>
      <c r="H328" s="83" t="s">
        <v>267</v>
      </c>
      <c r="I328" s="135" t="s">
        <v>867</v>
      </c>
      <c r="K328" s="137" t="s">
        <v>1227</v>
      </c>
      <c r="L328" s="135" t="s">
        <v>867</v>
      </c>
      <c r="M328" s="135" t="s">
        <v>867</v>
      </c>
      <c r="O328" s="34" t="s">
        <v>1490</v>
      </c>
      <c r="P328" s="34" t="s">
        <v>243</v>
      </c>
      <c r="Q328" s="83">
        <v>2025</v>
      </c>
    </row>
    <row r="329" spans="1:17" ht="15" x14ac:dyDescent="0.2">
      <c r="A329" s="83"/>
      <c r="B329" s="83" t="s">
        <v>264</v>
      </c>
      <c r="C329" s="133" t="s">
        <v>440</v>
      </c>
      <c r="D329" s="134" t="s">
        <v>263</v>
      </c>
      <c r="E329" s="83" t="s">
        <v>264</v>
      </c>
      <c r="F329" s="83" t="s">
        <v>265</v>
      </c>
      <c r="G329" s="135" t="s">
        <v>268</v>
      </c>
      <c r="H329" s="83" t="s">
        <v>267</v>
      </c>
      <c r="I329" s="135" t="s">
        <v>868</v>
      </c>
      <c r="K329" s="137" t="s">
        <v>1228</v>
      </c>
      <c r="L329" s="135" t="s">
        <v>868</v>
      </c>
      <c r="M329" s="135" t="s">
        <v>868</v>
      </c>
      <c r="O329" s="34" t="s">
        <v>1491</v>
      </c>
      <c r="P329" s="34" t="s">
        <v>243</v>
      </c>
      <c r="Q329" s="83">
        <v>2025</v>
      </c>
    </row>
    <row r="330" spans="1:17" ht="15" x14ac:dyDescent="0.2">
      <c r="A330" s="83"/>
      <c r="B330" s="83" t="s">
        <v>264</v>
      </c>
      <c r="C330" s="133" t="s">
        <v>441</v>
      </c>
      <c r="D330" s="134" t="s">
        <v>263</v>
      </c>
      <c r="E330" s="83" t="s">
        <v>264</v>
      </c>
      <c r="F330" s="83" t="s">
        <v>265</v>
      </c>
      <c r="G330" s="135" t="s">
        <v>268</v>
      </c>
      <c r="H330" s="83" t="s">
        <v>267</v>
      </c>
      <c r="I330" s="135" t="s">
        <v>869</v>
      </c>
      <c r="K330" s="137" t="s">
        <v>1229</v>
      </c>
      <c r="L330" s="135" t="s">
        <v>869</v>
      </c>
      <c r="M330" s="135" t="s">
        <v>869</v>
      </c>
      <c r="O330" s="34" t="s">
        <v>1491</v>
      </c>
      <c r="P330" s="34" t="s">
        <v>243</v>
      </c>
      <c r="Q330" s="83">
        <v>2025</v>
      </c>
    </row>
    <row r="331" spans="1:17" ht="15" x14ac:dyDescent="0.2">
      <c r="A331" s="83"/>
      <c r="B331" s="83" t="s">
        <v>264</v>
      </c>
      <c r="C331" s="133" t="s">
        <v>442</v>
      </c>
      <c r="D331" s="134" t="s">
        <v>263</v>
      </c>
      <c r="E331" s="83" t="s">
        <v>264</v>
      </c>
      <c r="F331" s="83" t="s">
        <v>265</v>
      </c>
      <c r="G331" s="135" t="s">
        <v>268</v>
      </c>
      <c r="H331" s="83" t="s">
        <v>267</v>
      </c>
      <c r="I331" s="135" t="s">
        <v>870</v>
      </c>
      <c r="K331" s="137" t="s">
        <v>1230</v>
      </c>
      <c r="L331" s="135" t="s">
        <v>870</v>
      </c>
      <c r="M331" s="135" t="s">
        <v>870</v>
      </c>
      <c r="O331" s="34" t="s">
        <v>1491</v>
      </c>
      <c r="P331" s="34" t="s">
        <v>243</v>
      </c>
      <c r="Q331" s="83">
        <v>2025</v>
      </c>
    </row>
    <row r="332" spans="1:17" ht="15" x14ac:dyDescent="0.2">
      <c r="A332" s="83"/>
      <c r="B332" s="83" t="s">
        <v>264</v>
      </c>
      <c r="C332" s="133" t="s">
        <v>443</v>
      </c>
      <c r="D332" s="134" t="s">
        <v>263</v>
      </c>
      <c r="E332" s="83" t="s">
        <v>264</v>
      </c>
      <c r="F332" s="83" t="s">
        <v>265</v>
      </c>
      <c r="G332" s="135" t="s">
        <v>268</v>
      </c>
      <c r="H332" s="83" t="s">
        <v>267</v>
      </c>
      <c r="I332" s="135" t="s">
        <v>871</v>
      </c>
      <c r="K332" s="137" t="s">
        <v>1231</v>
      </c>
      <c r="L332" s="135" t="s">
        <v>871</v>
      </c>
      <c r="M332" s="135" t="s">
        <v>871</v>
      </c>
      <c r="O332" s="34" t="s">
        <v>1491</v>
      </c>
      <c r="P332" s="34" t="s">
        <v>243</v>
      </c>
      <c r="Q332" s="83">
        <v>2025</v>
      </c>
    </row>
    <row r="333" spans="1:17" ht="15" x14ac:dyDescent="0.2">
      <c r="A333" s="83"/>
      <c r="B333" s="83" t="s">
        <v>264</v>
      </c>
      <c r="C333" s="133" t="s">
        <v>444</v>
      </c>
      <c r="D333" s="134" t="s">
        <v>263</v>
      </c>
      <c r="E333" s="83" t="s">
        <v>264</v>
      </c>
      <c r="F333" s="83" t="s">
        <v>265</v>
      </c>
      <c r="G333" s="135" t="s">
        <v>268</v>
      </c>
      <c r="H333" s="83" t="s">
        <v>267</v>
      </c>
      <c r="I333" s="135" t="s">
        <v>872</v>
      </c>
      <c r="K333" s="137" t="s">
        <v>1232</v>
      </c>
      <c r="L333" s="135" t="s">
        <v>872</v>
      </c>
      <c r="M333" s="135" t="s">
        <v>872</v>
      </c>
      <c r="O333" s="34" t="s">
        <v>1491</v>
      </c>
      <c r="P333" s="34" t="s">
        <v>243</v>
      </c>
      <c r="Q333" s="83">
        <v>2025</v>
      </c>
    </row>
    <row r="334" spans="1:17" ht="15" x14ac:dyDescent="0.2">
      <c r="A334" s="83"/>
      <c r="B334" s="83" t="s">
        <v>264</v>
      </c>
      <c r="C334" s="133" t="s">
        <v>445</v>
      </c>
      <c r="D334" s="134" t="s">
        <v>263</v>
      </c>
      <c r="E334" s="83" t="s">
        <v>264</v>
      </c>
      <c r="F334" s="83" t="s">
        <v>265</v>
      </c>
      <c r="G334" s="135" t="s">
        <v>268</v>
      </c>
      <c r="H334" s="83" t="s">
        <v>267</v>
      </c>
      <c r="I334" s="135" t="s">
        <v>873</v>
      </c>
      <c r="K334" s="137" t="s">
        <v>1233</v>
      </c>
      <c r="L334" s="135" t="s">
        <v>873</v>
      </c>
      <c r="M334" s="135" t="s">
        <v>873</v>
      </c>
      <c r="O334" s="34" t="s">
        <v>1491</v>
      </c>
      <c r="P334" s="34" t="s">
        <v>243</v>
      </c>
      <c r="Q334" s="83">
        <v>2025</v>
      </c>
    </row>
    <row r="335" spans="1:17" ht="15" x14ac:dyDescent="0.2">
      <c r="A335" s="83"/>
      <c r="B335" s="83" t="s">
        <v>264</v>
      </c>
      <c r="C335" s="133" t="s">
        <v>446</v>
      </c>
      <c r="D335" s="134" t="s">
        <v>263</v>
      </c>
      <c r="E335" s="83" t="s">
        <v>264</v>
      </c>
      <c r="F335" s="83" t="s">
        <v>265</v>
      </c>
      <c r="G335" s="135" t="s">
        <v>269</v>
      </c>
      <c r="H335" s="83" t="s">
        <v>267</v>
      </c>
      <c r="I335" s="135" t="s">
        <v>874</v>
      </c>
      <c r="K335" s="137" t="s">
        <v>1234</v>
      </c>
      <c r="L335" s="135" t="s">
        <v>874</v>
      </c>
      <c r="M335" s="135" t="s">
        <v>874</v>
      </c>
      <c r="O335" s="34" t="s">
        <v>1490</v>
      </c>
      <c r="P335" s="34" t="s">
        <v>243</v>
      </c>
      <c r="Q335" s="83">
        <v>2025</v>
      </c>
    </row>
    <row r="336" spans="1:17" ht="15" x14ac:dyDescent="0.2">
      <c r="A336" s="83"/>
      <c r="B336" s="83" t="s">
        <v>264</v>
      </c>
      <c r="C336" s="133" t="s">
        <v>447</v>
      </c>
      <c r="D336" s="134" t="s">
        <v>263</v>
      </c>
      <c r="E336" s="83" t="s">
        <v>264</v>
      </c>
      <c r="F336" s="83" t="s">
        <v>265</v>
      </c>
      <c r="G336" s="135" t="s">
        <v>271</v>
      </c>
      <c r="H336" s="83" t="s">
        <v>267</v>
      </c>
      <c r="I336" s="135" t="s">
        <v>875</v>
      </c>
      <c r="K336" s="137" t="s">
        <v>1235</v>
      </c>
      <c r="L336" s="135" t="s">
        <v>875</v>
      </c>
      <c r="M336" s="135" t="s">
        <v>875</v>
      </c>
      <c r="O336" s="34" t="s">
        <v>1491</v>
      </c>
      <c r="P336" s="34" t="s">
        <v>243</v>
      </c>
      <c r="Q336" s="83">
        <v>2025</v>
      </c>
    </row>
    <row r="337" spans="1:17" ht="15" x14ac:dyDescent="0.2">
      <c r="A337" s="83"/>
      <c r="B337" s="83" t="s">
        <v>264</v>
      </c>
      <c r="C337" s="133" t="s">
        <v>448</v>
      </c>
      <c r="D337" s="134" t="s">
        <v>263</v>
      </c>
      <c r="E337" s="83" t="s">
        <v>264</v>
      </c>
      <c r="F337" s="83" t="s">
        <v>265</v>
      </c>
      <c r="G337" s="135" t="s">
        <v>268</v>
      </c>
      <c r="H337" s="83" t="s">
        <v>267</v>
      </c>
      <c r="I337" s="135" t="s">
        <v>876</v>
      </c>
      <c r="K337" s="137" t="s">
        <v>1236</v>
      </c>
      <c r="L337" s="135" t="s">
        <v>876</v>
      </c>
      <c r="M337" s="135" t="s">
        <v>876</v>
      </c>
      <c r="O337" s="34" t="s">
        <v>1491</v>
      </c>
      <c r="P337" s="34" t="s">
        <v>243</v>
      </c>
      <c r="Q337" s="83">
        <v>2025</v>
      </c>
    </row>
    <row r="338" spans="1:17" ht="15" x14ac:dyDescent="0.2">
      <c r="A338" s="83"/>
      <c r="B338" s="83" t="s">
        <v>264</v>
      </c>
      <c r="C338" s="133" t="s">
        <v>449</v>
      </c>
      <c r="D338" s="134" t="s">
        <v>263</v>
      </c>
      <c r="E338" s="83" t="s">
        <v>264</v>
      </c>
      <c r="F338" s="83" t="s">
        <v>265</v>
      </c>
      <c r="G338" s="135" t="s">
        <v>271</v>
      </c>
      <c r="H338" s="83" t="s">
        <v>267</v>
      </c>
      <c r="I338" s="135" t="s">
        <v>877</v>
      </c>
      <c r="K338" s="137" t="s">
        <v>1237</v>
      </c>
      <c r="L338" s="135" t="s">
        <v>877</v>
      </c>
      <c r="M338" s="135" t="s">
        <v>877</v>
      </c>
      <c r="O338" s="34" t="s">
        <v>1491</v>
      </c>
      <c r="P338" s="34" t="s">
        <v>243</v>
      </c>
      <c r="Q338" s="83">
        <v>2025</v>
      </c>
    </row>
    <row r="339" spans="1:17" ht="15" x14ac:dyDescent="0.2">
      <c r="A339" s="83"/>
      <c r="B339" s="83" t="s">
        <v>264</v>
      </c>
      <c r="C339" s="133" t="s">
        <v>450</v>
      </c>
      <c r="D339" s="134" t="s">
        <v>263</v>
      </c>
      <c r="E339" s="83" t="s">
        <v>264</v>
      </c>
      <c r="F339" s="83" t="s">
        <v>265</v>
      </c>
      <c r="G339" s="135" t="s">
        <v>266</v>
      </c>
      <c r="H339" s="83" t="s">
        <v>267</v>
      </c>
      <c r="I339" s="135" t="s">
        <v>878</v>
      </c>
      <c r="K339" s="137" t="s">
        <v>1238</v>
      </c>
      <c r="L339" s="135" t="s">
        <v>878</v>
      </c>
      <c r="M339" s="135" t="s">
        <v>878</v>
      </c>
      <c r="O339" s="34" t="s">
        <v>1490</v>
      </c>
      <c r="P339" s="34" t="s">
        <v>243</v>
      </c>
      <c r="Q339" s="83">
        <v>2025</v>
      </c>
    </row>
    <row r="340" spans="1:17" ht="15" x14ac:dyDescent="0.2">
      <c r="A340" s="83"/>
      <c r="B340" s="83" t="s">
        <v>264</v>
      </c>
      <c r="C340" s="133" t="s">
        <v>451</v>
      </c>
      <c r="D340" s="134" t="s">
        <v>263</v>
      </c>
      <c r="E340" s="83" t="s">
        <v>264</v>
      </c>
      <c r="F340" s="83" t="s">
        <v>265</v>
      </c>
      <c r="G340" s="135" t="s">
        <v>266</v>
      </c>
      <c r="H340" s="83" t="s">
        <v>267</v>
      </c>
      <c r="I340" s="135" t="s">
        <v>879</v>
      </c>
      <c r="K340" s="137" t="s">
        <v>1239</v>
      </c>
      <c r="L340" s="135" t="s">
        <v>879</v>
      </c>
      <c r="M340" s="135" t="s">
        <v>879</v>
      </c>
      <c r="O340" s="34" t="s">
        <v>1490</v>
      </c>
      <c r="P340" s="34" t="s">
        <v>243</v>
      </c>
      <c r="Q340" s="83">
        <v>2025</v>
      </c>
    </row>
    <row r="341" spans="1:17" ht="15" x14ac:dyDescent="0.2">
      <c r="A341" s="83"/>
      <c r="B341" s="83" t="s">
        <v>264</v>
      </c>
      <c r="C341" s="133" t="s">
        <v>452</v>
      </c>
      <c r="D341" s="134" t="s">
        <v>263</v>
      </c>
      <c r="E341" s="83" t="s">
        <v>264</v>
      </c>
      <c r="F341" s="83" t="s">
        <v>265</v>
      </c>
      <c r="G341" s="135" t="s">
        <v>266</v>
      </c>
      <c r="H341" s="83" t="s">
        <v>267</v>
      </c>
      <c r="I341" s="135" t="s">
        <v>880</v>
      </c>
      <c r="K341" s="137" t="s">
        <v>1240</v>
      </c>
      <c r="L341" s="135" t="s">
        <v>880</v>
      </c>
      <c r="M341" s="135" t="s">
        <v>880</v>
      </c>
      <c r="O341" s="34" t="s">
        <v>1490</v>
      </c>
      <c r="P341" s="34" t="s">
        <v>243</v>
      </c>
      <c r="Q341" s="83">
        <v>2025</v>
      </c>
    </row>
    <row r="342" spans="1:17" ht="15" x14ac:dyDescent="0.2">
      <c r="A342" s="83"/>
      <c r="B342" s="83" t="s">
        <v>264</v>
      </c>
      <c r="C342" s="133" t="s">
        <v>453</v>
      </c>
      <c r="D342" s="134" t="s">
        <v>263</v>
      </c>
      <c r="E342" s="83" t="s">
        <v>264</v>
      </c>
      <c r="F342" s="83" t="s">
        <v>265</v>
      </c>
      <c r="G342" s="135" t="s">
        <v>269</v>
      </c>
      <c r="H342" s="83" t="s">
        <v>267</v>
      </c>
      <c r="I342" s="135" t="s">
        <v>881</v>
      </c>
      <c r="K342" s="137" t="s">
        <v>1241</v>
      </c>
      <c r="L342" s="135" t="s">
        <v>881</v>
      </c>
      <c r="M342" s="135" t="s">
        <v>881</v>
      </c>
      <c r="O342" s="34" t="s">
        <v>1490</v>
      </c>
      <c r="P342" s="34" t="s">
        <v>243</v>
      </c>
      <c r="Q342" s="83">
        <v>2025</v>
      </c>
    </row>
    <row r="343" spans="1:17" ht="15" x14ac:dyDescent="0.2">
      <c r="A343" s="83"/>
      <c r="B343" s="83" t="s">
        <v>264</v>
      </c>
      <c r="C343" s="133" t="s">
        <v>454</v>
      </c>
      <c r="D343" s="134" t="s">
        <v>263</v>
      </c>
      <c r="E343" s="83" t="s">
        <v>264</v>
      </c>
      <c r="F343" s="83" t="s">
        <v>265</v>
      </c>
      <c r="G343" s="135" t="s">
        <v>268</v>
      </c>
      <c r="H343" s="83" t="s">
        <v>267</v>
      </c>
      <c r="I343" s="135" t="s">
        <v>882</v>
      </c>
      <c r="K343" s="137" t="s">
        <v>1242</v>
      </c>
      <c r="L343" s="135" t="s">
        <v>882</v>
      </c>
      <c r="M343" s="135" t="s">
        <v>882</v>
      </c>
      <c r="O343" s="34" t="s">
        <v>1491</v>
      </c>
      <c r="P343" s="34" t="s">
        <v>243</v>
      </c>
      <c r="Q343" s="83">
        <v>2025</v>
      </c>
    </row>
    <row r="344" spans="1:17" ht="15" x14ac:dyDescent="0.2">
      <c r="A344" s="83"/>
      <c r="B344" s="83" t="s">
        <v>264</v>
      </c>
      <c r="C344" s="133" t="s">
        <v>455</v>
      </c>
      <c r="D344" s="134" t="s">
        <v>263</v>
      </c>
      <c r="E344" s="83" t="s">
        <v>264</v>
      </c>
      <c r="F344" s="83" t="s">
        <v>265</v>
      </c>
      <c r="G344" s="135" t="s">
        <v>266</v>
      </c>
      <c r="H344" s="83" t="s">
        <v>267</v>
      </c>
      <c r="I344" s="135" t="s">
        <v>883</v>
      </c>
      <c r="K344" s="137" t="s">
        <v>1243</v>
      </c>
      <c r="L344" s="135" t="s">
        <v>883</v>
      </c>
      <c r="M344" s="135" t="s">
        <v>883</v>
      </c>
      <c r="O344" s="34" t="s">
        <v>1490</v>
      </c>
      <c r="P344" s="34" t="s">
        <v>243</v>
      </c>
      <c r="Q344" s="83">
        <v>2025</v>
      </c>
    </row>
    <row r="345" spans="1:17" ht="15" x14ac:dyDescent="0.2">
      <c r="A345" s="83"/>
      <c r="B345" s="83" t="s">
        <v>264</v>
      </c>
      <c r="C345" s="133" t="s">
        <v>456</v>
      </c>
      <c r="D345" s="134" t="s">
        <v>263</v>
      </c>
      <c r="E345" s="83" t="s">
        <v>264</v>
      </c>
      <c r="F345" s="83" t="s">
        <v>265</v>
      </c>
      <c r="G345" s="135" t="s">
        <v>269</v>
      </c>
      <c r="H345" s="83" t="s">
        <v>267</v>
      </c>
      <c r="I345" s="135" t="s">
        <v>884</v>
      </c>
      <c r="K345" s="137" t="s">
        <v>1244</v>
      </c>
      <c r="L345" s="135" t="s">
        <v>884</v>
      </c>
      <c r="M345" s="135" t="s">
        <v>884</v>
      </c>
      <c r="O345" s="34" t="s">
        <v>1490</v>
      </c>
      <c r="P345" s="34" t="s">
        <v>243</v>
      </c>
      <c r="Q345" s="83">
        <v>2025</v>
      </c>
    </row>
    <row r="346" spans="1:17" ht="15" x14ac:dyDescent="0.2">
      <c r="A346" s="83"/>
      <c r="B346" s="83" t="s">
        <v>264</v>
      </c>
      <c r="C346" s="133" t="s">
        <v>457</v>
      </c>
      <c r="D346" s="134" t="s">
        <v>263</v>
      </c>
      <c r="E346" s="83" t="s">
        <v>264</v>
      </c>
      <c r="F346" s="83" t="s">
        <v>265</v>
      </c>
      <c r="G346" s="135" t="s">
        <v>271</v>
      </c>
      <c r="H346" s="83" t="s">
        <v>267</v>
      </c>
      <c r="I346" s="135" t="s">
        <v>885</v>
      </c>
      <c r="K346" s="137" t="s">
        <v>1245</v>
      </c>
      <c r="L346" s="135" t="s">
        <v>885</v>
      </c>
      <c r="M346" s="135" t="s">
        <v>885</v>
      </c>
      <c r="O346" s="34" t="s">
        <v>1491</v>
      </c>
      <c r="P346" s="34" t="s">
        <v>243</v>
      </c>
      <c r="Q346" s="83">
        <v>2025</v>
      </c>
    </row>
    <row r="347" spans="1:17" ht="15" x14ac:dyDescent="0.2">
      <c r="A347" s="83"/>
      <c r="B347" s="83" t="s">
        <v>264</v>
      </c>
      <c r="C347" s="133" t="s">
        <v>458</v>
      </c>
      <c r="D347" s="134" t="s">
        <v>263</v>
      </c>
      <c r="E347" s="83" t="s">
        <v>264</v>
      </c>
      <c r="F347" s="83" t="s">
        <v>265</v>
      </c>
      <c r="G347" s="135" t="s">
        <v>266</v>
      </c>
      <c r="H347" s="83" t="s">
        <v>267</v>
      </c>
      <c r="I347" s="135" t="s">
        <v>886</v>
      </c>
      <c r="K347" s="137" t="s">
        <v>1246</v>
      </c>
      <c r="L347" s="135" t="s">
        <v>886</v>
      </c>
      <c r="M347" s="135" t="s">
        <v>886</v>
      </c>
      <c r="O347" s="34" t="s">
        <v>1490</v>
      </c>
      <c r="P347" s="34" t="s">
        <v>243</v>
      </c>
      <c r="Q347" s="83">
        <v>2025</v>
      </c>
    </row>
    <row r="348" spans="1:17" ht="15" x14ac:dyDescent="0.2">
      <c r="A348" s="83"/>
      <c r="B348" s="83" t="s">
        <v>264</v>
      </c>
      <c r="C348" s="133" t="s">
        <v>459</v>
      </c>
      <c r="D348" s="134" t="s">
        <v>263</v>
      </c>
      <c r="E348" s="83" t="s">
        <v>264</v>
      </c>
      <c r="F348" s="83" t="s">
        <v>265</v>
      </c>
      <c r="G348" s="135" t="s">
        <v>269</v>
      </c>
      <c r="H348" s="83" t="s">
        <v>267</v>
      </c>
      <c r="I348" s="135" t="s">
        <v>887</v>
      </c>
      <c r="K348" s="137" t="s">
        <v>1247</v>
      </c>
      <c r="L348" s="135" t="s">
        <v>887</v>
      </c>
      <c r="M348" s="135" t="s">
        <v>887</v>
      </c>
      <c r="O348" s="34" t="s">
        <v>1490</v>
      </c>
      <c r="P348" s="34" t="s">
        <v>243</v>
      </c>
      <c r="Q348" s="83">
        <v>2025</v>
      </c>
    </row>
    <row r="349" spans="1:17" ht="15" x14ac:dyDescent="0.2">
      <c r="A349" s="83"/>
      <c r="B349" s="83" t="s">
        <v>264</v>
      </c>
      <c r="C349" s="133" t="s">
        <v>460</v>
      </c>
      <c r="D349" s="134" t="s">
        <v>263</v>
      </c>
      <c r="E349" s="83" t="s">
        <v>264</v>
      </c>
      <c r="F349" s="83" t="s">
        <v>265</v>
      </c>
      <c r="G349" s="135" t="s">
        <v>269</v>
      </c>
      <c r="H349" s="83" t="s">
        <v>267</v>
      </c>
      <c r="I349" s="135" t="s">
        <v>888</v>
      </c>
      <c r="K349" s="137" t="s">
        <v>1248</v>
      </c>
      <c r="L349" s="135" t="s">
        <v>888</v>
      </c>
      <c r="M349" s="135" t="s">
        <v>888</v>
      </c>
      <c r="O349" s="34" t="s">
        <v>1490</v>
      </c>
      <c r="P349" s="34" t="s">
        <v>243</v>
      </c>
      <c r="Q349" s="83">
        <v>2025</v>
      </c>
    </row>
    <row r="350" spans="1:17" ht="15" x14ac:dyDescent="0.2">
      <c r="A350" s="83"/>
      <c r="B350" s="83" t="s">
        <v>264</v>
      </c>
      <c r="C350" s="133" t="s">
        <v>461</v>
      </c>
      <c r="D350" s="134" t="s">
        <v>263</v>
      </c>
      <c r="E350" s="83" t="s">
        <v>264</v>
      </c>
      <c r="F350" s="83" t="s">
        <v>265</v>
      </c>
      <c r="G350" s="135" t="s">
        <v>266</v>
      </c>
      <c r="H350" s="83" t="s">
        <v>267</v>
      </c>
      <c r="I350" s="135" t="s">
        <v>889</v>
      </c>
      <c r="K350" s="137" t="s">
        <v>1249</v>
      </c>
      <c r="L350" s="135" t="s">
        <v>889</v>
      </c>
      <c r="M350" s="135" t="s">
        <v>889</v>
      </c>
      <c r="O350" s="34" t="s">
        <v>1490</v>
      </c>
      <c r="P350" s="34" t="s">
        <v>243</v>
      </c>
      <c r="Q350" s="83">
        <v>2025</v>
      </c>
    </row>
    <row r="351" spans="1:17" ht="15" x14ac:dyDescent="0.2">
      <c r="A351" s="83"/>
      <c r="B351" s="83" t="s">
        <v>264</v>
      </c>
      <c r="C351" s="133" t="s">
        <v>462</v>
      </c>
      <c r="D351" s="134" t="s">
        <v>263</v>
      </c>
      <c r="E351" s="83" t="s">
        <v>264</v>
      </c>
      <c r="F351" s="83" t="s">
        <v>265</v>
      </c>
      <c r="G351" s="135" t="s">
        <v>268</v>
      </c>
      <c r="H351" s="83" t="s">
        <v>267</v>
      </c>
      <c r="I351" s="135" t="s">
        <v>890</v>
      </c>
      <c r="K351" s="137" t="s">
        <v>1250</v>
      </c>
      <c r="L351" s="135" t="s">
        <v>890</v>
      </c>
      <c r="M351" s="135" t="s">
        <v>890</v>
      </c>
      <c r="O351" s="34" t="s">
        <v>1491</v>
      </c>
      <c r="P351" s="34" t="s">
        <v>243</v>
      </c>
      <c r="Q351" s="83">
        <v>2025</v>
      </c>
    </row>
    <row r="352" spans="1:17" ht="15" x14ac:dyDescent="0.2">
      <c r="A352" s="83"/>
      <c r="B352" s="83" t="s">
        <v>264</v>
      </c>
      <c r="C352" s="133" t="s">
        <v>463</v>
      </c>
      <c r="D352" s="134" t="s">
        <v>263</v>
      </c>
      <c r="E352" s="83" t="s">
        <v>264</v>
      </c>
      <c r="F352" s="83" t="s">
        <v>265</v>
      </c>
      <c r="G352" s="135" t="s">
        <v>268</v>
      </c>
      <c r="H352" s="83" t="s">
        <v>267</v>
      </c>
      <c r="I352" s="135" t="s">
        <v>891</v>
      </c>
      <c r="K352" s="137" t="s">
        <v>1251</v>
      </c>
      <c r="L352" s="135" t="s">
        <v>891</v>
      </c>
      <c r="M352" s="135" t="s">
        <v>891</v>
      </c>
      <c r="O352" s="34" t="s">
        <v>1491</v>
      </c>
      <c r="P352" s="34" t="s">
        <v>243</v>
      </c>
      <c r="Q352" s="83">
        <v>2025</v>
      </c>
    </row>
    <row r="353" spans="1:17" ht="15" x14ac:dyDescent="0.2">
      <c r="A353" s="83"/>
      <c r="B353" s="83" t="s">
        <v>264</v>
      </c>
      <c r="C353" s="133" t="s">
        <v>464</v>
      </c>
      <c r="D353" s="134" t="s">
        <v>263</v>
      </c>
      <c r="E353" s="83" t="s">
        <v>264</v>
      </c>
      <c r="F353" s="83" t="s">
        <v>265</v>
      </c>
      <c r="G353" s="135" t="s">
        <v>266</v>
      </c>
      <c r="H353" s="83" t="s">
        <v>267</v>
      </c>
      <c r="I353" s="135" t="s">
        <v>892</v>
      </c>
      <c r="K353" s="137" t="s">
        <v>1252</v>
      </c>
      <c r="L353" s="135" t="s">
        <v>892</v>
      </c>
      <c r="M353" s="135" t="s">
        <v>892</v>
      </c>
      <c r="O353" s="34" t="s">
        <v>1490</v>
      </c>
      <c r="P353" s="34" t="s">
        <v>243</v>
      </c>
      <c r="Q353" s="83">
        <v>2025</v>
      </c>
    </row>
    <row r="354" spans="1:17" ht="15" x14ac:dyDescent="0.2">
      <c r="A354" s="83"/>
      <c r="B354" s="83" t="s">
        <v>264</v>
      </c>
      <c r="C354" s="133" t="s">
        <v>465</v>
      </c>
      <c r="D354" s="134" t="s">
        <v>263</v>
      </c>
      <c r="E354" s="83" t="s">
        <v>264</v>
      </c>
      <c r="F354" s="83" t="s">
        <v>265</v>
      </c>
      <c r="G354" s="135" t="s">
        <v>266</v>
      </c>
      <c r="H354" s="83" t="s">
        <v>267</v>
      </c>
      <c r="I354" s="135" t="s">
        <v>893</v>
      </c>
      <c r="K354" s="137" t="s">
        <v>1253</v>
      </c>
      <c r="L354" s="135" t="s">
        <v>893</v>
      </c>
      <c r="M354" s="135" t="s">
        <v>893</v>
      </c>
      <c r="O354" s="34" t="s">
        <v>1490</v>
      </c>
      <c r="P354" s="34" t="s">
        <v>243</v>
      </c>
      <c r="Q354" s="83">
        <v>2025</v>
      </c>
    </row>
    <row r="355" spans="1:17" ht="15" x14ac:dyDescent="0.2">
      <c r="A355" s="83"/>
      <c r="B355" s="83" t="s">
        <v>264</v>
      </c>
      <c r="C355" s="133" t="s">
        <v>466</v>
      </c>
      <c r="D355" s="134" t="s">
        <v>263</v>
      </c>
      <c r="E355" s="83" t="s">
        <v>264</v>
      </c>
      <c r="F355" s="83" t="s">
        <v>265</v>
      </c>
      <c r="G355" s="135" t="s">
        <v>266</v>
      </c>
      <c r="H355" s="83" t="s">
        <v>267</v>
      </c>
      <c r="I355" s="135" t="s">
        <v>894</v>
      </c>
      <c r="K355" s="137" t="s">
        <v>1254</v>
      </c>
      <c r="L355" s="135" t="s">
        <v>894</v>
      </c>
      <c r="M355" s="135" t="s">
        <v>894</v>
      </c>
      <c r="O355" s="34" t="s">
        <v>1490</v>
      </c>
      <c r="P355" s="34" t="s">
        <v>243</v>
      </c>
      <c r="Q355" s="83">
        <v>2025</v>
      </c>
    </row>
    <row r="356" spans="1:17" ht="15" x14ac:dyDescent="0.2">
      <c r="A356" s="83"/>
      <c r="B356" s="83" t="s">
        <v>264</v>
      </c>
      <c r="C356" s="133" t="s">
        <v>467</v>
      </c>
      <c r="D356" s="134" t="s">
        <v>263</v>
      </c>
      <c r="E356" s="83" t="s">
        <v>264</v>
      </c>
      <c r="F356" s="83" t="s">
        <v>265</v>
      </c>
      <c r="G356" s="135" t="s">
        <v>266</v>
      </c>
      <c r="H356" s="83" t="s">
        <v>267</v>
      </c>
      <c r="I356" s="135" t="s">
        <v>895</v>
      </c>
      <c r="K356" s="137" t="s">
        <v>1255</v>
      </c>
      <c r="L356" s="135" t="s">
        <v>895</v>
      </c>
      <c r="M356" s="135" t="s">
        <v>895</v>
      </c>
      <c r="O356" s="34" t="s">
        <v>1490</v>
      </c>
      <c r="P356" s="34" t="s">
        <v>243</v>
      </c>
      <c r="Q356" s="83">
        <v>2025</v>
      </c>
    </row>
    <row r="357" spans="1:17" ht="15" x14ac:dyDescent="0.2">
      <c r="A357" s="83"/>
      <c r="B357" s="83" t="s">
        <v>264</v>
      </c>
      <c r="C357" s="133" t="s">
        <v>468</v>
      </c>
      <c r="D357" s="134" t="s">
        <v>263</v>
      </c>
      <c r="E357" s="83" t="s">
        <v>264</v>
      </c>
      <c r="F357" s="83" t="s">
        <v>265</v>
      </c>
      <c r="G357" s="135" t="s">
        <v>266</v>
      </c>
      <c r="H357" s="83" t="s">
        <v>267</v>
      </c>
      <c r="I357" s="135" t="s">
        <v>896</v>
      </c>
      <c r="K357" s="137" t="s">
        <v>1256</v>
      </c>
      <c r="L357" s="135" t="s">
        <v>896</v>
      </c>
      <c r="M357" s="135" t="s">
        <v>896</v>
      </c>
      <c r="O357" s="34" t="s">
        <v>1490</v>
      </c>
      <c r="P357" s="34" t="s">
        <v>243</v>
      </c>
      <c r="Q357" s="83">
        <v>2025</v>
      </c>
    </row>
    <row r="358" spans="1:17" ht="15" x14ac:dyDescent="0.2">
      <c r="A358" s="83"/>
      <c r="B358" s="83" t="s">
        <v>264</v>
      </c>
      <c r="C358" s="133" t="s">
        <v>469</v>
      </c>
      <c r="D358" s="134" t="s">
        <v>263</v>
      </c>
      <c r="E358" s="83" t="s">
        <v>264</v>
      </c>
      <c r="F358" s="83" t="s">
        <v>265</v>
      </c>
      <c r="G358" s="135" t="s">
        <v>266</v>
      </c>
      <c r="H358" s="83" t="s">
        <v>267</v>
      </c>
      <c r="I358" s="135" t="s">
        <v>897</v>
      </c>
      <c r="K358" s="137" t="s">
        <v>1257</v>
      </c>
      <c r="L358" s="135" t="s">
        <v>897</v>
      </c>
      <c r="M358" s="135" t="s">
        <v>897</v>
      </c>
      <c r="O358" s="34" t="s">
        <v>1490</v>
      </c>
      <c r="P358" s="34" t="s">
        <v>243</v>
      </c>
      <c r="Q358" s="83">
        <v>2025</v>
      </c>
    </row>
    <row r="359" spans="1:17" ht="15" x14ac:dyDescent="0.2">
      <c r="A359" s="83"/>
      <c r="B359" s="83" t="s">
        <v>264</v>
      </c>
      <c r="C359" s="133" t="s">
        <v>470</v>
      </c>
      <c r="D359" s="134" t="s">
        <v>263</v>
      </c>
      <c r="E359" s="83" t="s">
        <v>264</v>
      </c>
      <c r="F359" s="83" t="s">
        <v>265</v>
      </c>
      <c r="G359" s="135" t="s">
        <v>266</v>
      </c>
      <c r="H359" s="83" t="s">
        <v>267</v>
      </c>
      <c r="I359" s="135" t="s">
        <v>898</v>
      </c>
      <c r="K359" s="137" t="s">
        <v>1258</v>
      </c>
      <c r="L359" s="135" t="s">
        <v>898</v>
      </c>
      <c r="M359" s="135" t="s">
        <v>898</v>
      </c>
      <c r="O359" s="34" t="s">
        <v>1490</v>
      </c>
      <c r="P359" s="34" t="s">
        <v>243</v>
      </c>
      <c r="Q359" s="83">
        <v>2025</v>
      </c>
    </row>
    <row r="360" spans="1:17" ht="15" x14ac:dyDescent="0.2">
      <c r="A360" s="83"/>
      <c r="B360" s="83" t="s">
        <v>264</v>
      </c>
      <c r="C360" s="133" t="s">
        <v>471</v>
      </c>
      <c r="D360" s="134" t="s">
        <v>263</v>
      </c>
      <c r="E360" s="83" t="s">
        <v>264</v>
      </c>
      <c r="F360" s="83" t="s">
        <v>265</v>
      </c>
      <c r="G360" s="135" t="s">
        <v>266</v>
      </c>
      <c r="H360" s="83" t="s">
        <v>267</v>
      </c>
      <c r="I360" s="135" t="s">
        <v>899</v>
      </c>
      <c r="K360" s="137" t="s">
        <v>1259</v>
      </c>
      <c r="L360" s="135" t="s">
        <v>899</v>
      </c>
      <c r="M360" s="135" t="s">
        <v>899</v>
      </c>
      <c r="O360" s="34" t="s">
        <v>1490</v>
      </c>
      <c r="P360" s="34" t="s">
        <v>243</v>
      </c>
      <c r="Q360" s="83">
        <v>2025</v>
      </c>
    </row>
    <row r="361" spans="1:17" ht="15" x14ac:dyDescent="0.2">
      <c r="A361" s="83"/>
      <c r="B361" s="83" t="s">
        <v>264</v>
      </c>
      <c r="C361" s="133" t="s">
        <v>472</v>
      </c>
      <c r="D361" s="134" t="s">
        <v>263</v>
      </c>
      <c r="E361" s="83" t="s">
        <v>264</v>
      </c>
      <c r="F361" s="83" t="s">
        <v>265</v>
      </c>
      <c r="G361" s="135" t="s">
        <v>269</v>
      </c>
      <c r="H361" s="83" t="s">
        <v>267</v>
      </c>
      <c r="I361" s="135" t="s">
        <v>900</v>
      </c>
      <c r="K361" s="137" t="s">
        <v>1260</v>
      </c>
      <c r="L361" s="135" t="s">
        <v>900</v>
      </c>
      <c r="M361" s="135" t="s">
        <v>900</v>
      </c>
      <c r="O361" s="34" t="s">
        <v>1490</v>
      </c>
      <c r="P361" s="34" t="s">
        <v>243</v>
      </c>
      <c r="Q361" s="83">
        <v>2025</v>
      </c>
    </row>
    <row r="362" spans="1:17" ht="15" x14ac:dyDescent="0.2">
      <c r="A362" s="83"/>
      <c r="B362" s="83" t="s">
        <v>264</v>
      </c>
      <c r="C362" s="133" t="s">
        <v>473</v>
      </c>
      <c r="D362" s="134" t="s">
        <v>263</v>
      </c>
      <c r="E362" s="83" t="s">
        <v>264</v>
      </c>
      <c r="F362" s="83" t="s">
        <v>265</v>
      </c>
      <c r="G362" s="135" t="s">
        <v>269</v>
      </c>
      <c r="H362" s="83" t="s">
        <v>267</v>
      </c>
      <c r="I362" s="135" t="s">
        <v>901</v>
      </c>
      <c r="K362" s="137" t="s">
        <v>1261</v>
      </c>
      <c r="L362" s="135" t="s">
        <v>901</v>
      </c>
      <c r="M362" s="135" t="s">
        <v>901</v>
      </c>
      <c r="O362" s="34" t="s">
        <v>1490</v>
      </c>
      <c r="P362" s="34" t="s">
        <v>243</v>
      </c>
      <c r="Q362" s="83">
        <v>2025</v>
      </c>
    </row>
    <row r="363" spans="1:17" ht="15" x14ac:dyDescent="0.2">
      <c r="A363" s="83"/>
      <c r="B363" s="83" t="s">
        <v>264</v>
      </c>
      <c r="C363" s="133" t="s">
        <v>474</v>
      </c>
      <c r="D363" s="134" t="s">
        <v>263</v>
      </c>
      <c r="E363" s="83" t="s">
        <v>264</v>
      </c>
      <c r="F363" s="83" t="s">
        <v>265</v>
      </c>
      <c r="G363" s="135" t="s">
        <v>268</v>
      </c>
      <c r="H363" s="83" t="s">
        <v>267</v>
      </c>
      <c r="I363" s="135" t="s">
        <v>902</v>
      </c>
      <c r="K363" s="137" t="s">
        <v>1262</v>
      </c>
      <c r="L363" s="135" t="s">
        <v>902</v>
      </c>
      <c r="M363" s="135" t="s">
        <v>902</v>
      </c>
      <c r="O363" s="34" t="s">
        <v>1491</v>
      </c>
      <c r="P363" s="34" t="s">
        <v>243</v>
      </c>
      <c r="Q363" s="83">
        <v>2025</v>
      </c>
    </row>
    <row r="364" spans="1:17" ht="15" x14ac:dyDescent="0.2">
      <c r="A364" s="83"/>
      <c r="B364" s="83" t="s">
        <v>264</v>
      </c>
      <c r="C364" s="133" t="s">
        <v>475</v>
      </c>
      <c r="D364" s="134" t="s">
        <v>263</v>
      </c>
      <c r="E364" s="83" t="s">
        <v>264</v>
      </c>
      <c r="F364" s="83" t="s">
        <v>265</v>
      </c>
      <c r="G364" s="135" t="s">
        <v>268</v>
      </c>
      <c r="H364" s="83" t="s">
        <v>267</v>
      </c>
      <c r="I364" s="135" t="s">
        <v>903</v>
      </c>
      <c r="K364" s="137" t="s">
        <v>1263</v>
      </c>
      <c r="L364" s="135" t="s">
        <v>903</v>
      </c>
      <c r="M364" s="135" t="s">
        <v>903</v>
      </c>
      <c r="O364" s="34" t="s">
        <v>1491</v>
      </c>
      <c r="P364" s="34" t="s">
        <v>243</v>
      </c>
      <c r="Q364" s="83">
        <v>2025</v>
      </c>
    </row>
    <row r="365" spans="1:17" ht="15" x14ac:dyDescent="0.2">
      <c r="A365" s="83"/>
      <c r="B365" s="83" t="s">
        <v>264</v>
      </c>
      <c r="C365" s="133" t="s">
        <v>476</v>
      </c>
      <c r="D365" s="134" t="s">
        <v>263</v>
      </c>
      <c r="E365" s="83" t="s">
        <v>264</v>
      </c>
      <c r="F365" s="83" t="s">
        <v>265</v>
      </c>
      <c r="G365" s="135" t="s">
        <v>268</v>
      </c>
      <c r="H365" s="83" t="s">
        <v>267</v>
      </c>
      <c r="I365" s="135" t="s">
        <v>904</v>
      </c>
      <c r="K365" s="137" t="s">
        <v>1264</v>
      </c>
      <c r="L365" s="135" t="s">
        <v>904</v>
      </c>
      <c r="M365" s="135" t="s">
        <v>904</v>
      </c>
      <c r="O365" s="34" t="s">
        <v>1491</v>
      </c>
      <c r="P365" s="34" t="s">
        <v>243</v>
      </c>
      <c r="Q365" s="83">
        <v>2025</v>
      </c>
    </row>
    <row r="366" spans="1:17" ht="15" x14ac:dyDescent="0.2">
      <c r="A366" s="83"/>
      <c r="B366" s="83" t="s">
        <v>264</v>
      </c>
      <c r="C366" s="133" t="s">
        <v>477</v>
      </c>
      <c r="D366" s="134" t="s">
        <v>263</v>
      </c>
      <c r="E366" s="83" t="s">
        <v>264</v>
      </c>
      <c r="F366" s="83" t="s">
        <v>265</v>
      </c>
      <c r="G366" s="135" t="s">
        <v>268</v>
      </c>
      <c r="H366" s="83" t="s">
        <v>267</v>
      </c>
      <c r="I366" s="135" t="s">
        <v>905</v>
      </c>
      <c r="K366" s="137" t="s">
        <v>1265</v>
      </c>
      <c r="L366" s="135" t="s">
        <v>905</v>
      </c>
      <c r="M366" s="135" t="s">
        <v>905</v>
      </c>
      <c r="O366" s="34" t="s">
        <v>1491</v>
      </c>
      <c r="P366" s="34" t="s">
        <v>243</v>
      </c>
      <c r="Q366" s="83">
        <v>2025</v>
      </c>
    </row>
    <row r="367" spans="1:17" ht="15" x14ac:dyDescent="0.2">
      <c r="A367" s="83"/>
      <c r="B367" s="83" t="s">
        <v>264</v>
      </c>
      <c r="C367" s="133" t="s">
        <v>478</v>
      </c>
      <c r="D367" s="134" t="s">
        <v>263</v>
      </c>
      <c r="E367" s="83" t="s">
        <v>264</v>
      </c>
      <c r="F367" s="83" t="s">
        <v>265</v>
      </c>
      <c r="G367" s="135" t="s">
        <v>266</v>
      </c>
      <c r="H367" s="83" t="s">
        <v>267</v>
      </c>
      <c r="I367" s="135" t="s">
        <v>906</v>
      </c>
      <c r="K367" s="137" t="s">
        <v>1266</v>
      </c>
      <c r="L367" s="135" t="s">
        <v>906</v>
      </c>
      <c r="M367" s="135" t="s">
        <v>906</v>
      </c>
      <c r="O367" s="34" t="s">
        <v>1490</v>
      </c>
      <c r="P367" s="34" t="s">
        <v>243</v>
      </c>
      <c r="Q367" s="83">
        <v>2025</v>
      </c>
    </row>
    <row r="368" spans="1:17" ht="15" x14ac:dyDescent="0.2">
      <c r="A368" s="83"/>
      <c r="B368" s="83" t="s">
        <v>264</v>
      </c>
      <c r="C368" s="133" t="s">
        <v>479</v>
      </c>
      <c r="D368" s="134" t="s">
        <v>263</v>
      </c>
      <c r="E368" s="83" t="s">
        <v>264</v>
      </c>
      <c r="F368" s="83" t="s">
        <v>265</v>
      </c>
      <c r="G368" s="135" t="s">
        <v>268</v>
      </c>
      <c r="H368" s="83" t="s">
        <v>267</v>
      </c>
      <c r="I368" s="135" t="s">
        <v>907</v>
      </c>
      <c r="K368" s="137" t="s">
        <v>1267</v>
      </c>
      <c r="L368" s="135" t="s">
        <v>907</v>
      </c>
      <c r="M368" s="135" t="s">
        <v>907</v>
      </c>
      <c r="O368" s="34" t="s">
        <v>1491</v>
      </c>
      <c r="P368" s="34" t="s">
        <v>243</v>
      </c>
      <c r="Q368" s="83">
        <v>2025</v>
      </c>
    </row>
    <row r="369" spans="1:17" ht="15" x14ac:dyDescent="0.2">
      <c r="A369" s="83"/>
      <c r="B369" s="83" t="s">
        <v>264</v>
      </c>
      <c r="C369" s="133" t="s">
        <v>480</v>
      </c>
      <c r="D369" s="134" t="s">
        <v>263</v>
      </c>
      <c r="E369" s="83" t="s">
        <v>264</v>
      </c>
      <c r="F369" s="83" t="s">
        <v>265</v>
      </c>
      <c r="G369" s="135" t="s">
        <v>266</v>
      </c>
      <c r="H369" s="83" t="s">
        <v>267</v>
      </c>
      <c r="I369" s="135" t="s">
        <v>908</v>
      </c>
      <c r="K369" s="137" t="s">
        <v>1268</v>
      </c>
      <c r="L369" s="135" t="s">
        <v>908</v>
      </c>
      <c r="M369" s="135" t="s">
        <v>908</v>
      </c>
      <c r="O369" s="34" t="s">
        <v>1490</v>
      </c>
      <c r="P369" s="34" t="s">
        <v>243</v>
      </c>
      <c r="Q369" s="83">
        <v>2025</v>
      </c>
    </row>
    <row r="370" spans="1:17" ht="15" x14ac:dyDescent="0.2">
      <c r="A370" s="83"/>
      <c r="B370" s="83" t="s">
        <v>264</v>
      </c>
      <c r="C370" s="133" t="s">
        <v>481</v>
      </c>
      <c r="D370" s="134" t="s">
        <v>263</v>
      </c>
      <c r="E370" s="83" t="s">
        <v>264</v>
      </c>
      <c r="F370" s="83" t="s">
        <v>265</v>
      </c>
      <c r="G370" s="135" t="s">
        <v>266</v>
      </c>
      <c r="H370" s="83" t="s">
        <v>267</v>
      </c>
      <c r="I370" s="135" t="s">
        <v>909</v>
      </c>
      <c r="K370" s="137" t="s">
        <v>1269</v>
      </c>
      <c r="L370" s="135" t="s">
        <v>909</v>
      </c>
      <c r="M370" s="135" t="s">
        <v>909</v>
      </c>
      <c r="O370" s="34" t="s">
        <v>1490</v>
      </c>
      <c r="P370" s="34" t="s">
        <v>243</v>
      </c>
      <c r="Q370" s="83">
        <v>2025</v>
      </c>
    </row>
    <row r="371" spans="1:17" ht="15" x14ac:dyDescent="0.2">
      <c r="A371" s="83"/>
      <c r="B371" s="83" t="s">
        <v>264</v>
      </c>
      <c r="C371" s="133" t="s">
        <v>482</v>
      </c>
      <c r="D371" s="134" t="s">
        <v>263</v>
      </c>
      <c r="E371" s="83" t="s">
        <v>264</v>
      </c>
      <c r="F371" s="83" t="s">
        <v>265</v>
      </c>
      <c r="G371" s="135" t="s">
        <v>266</v>
      </c>
      <c r="H371" s="83" t="s">
        <v>267</v>
      </c>
      <c r="I371" s="135" t="s">
        <v>910</v>
      </c>
      <c r="K371" s="137" t="s">
        <v>1270</v>
      </c>
      <c r="L371" s="135" t="s">
        <v>910</v>
      </c>
      <c r="M371" s="135" t="s">
        <v>910</v>
      </c>
      <c r="O371" s="34" t="s">
        <v>1490</v>
      </c>
      <c r="P371" s="34" t="s">
        <v>243</v>
      </c>
      <c r="Q371" s="83">
        <v>2025</v>
      </c>
    </row>
    <row r="372" spans="1:17" ht="15" x14ac:dyDescent="0.2">
      <c r="A372" s="83"/>
      <c r="B372" s="83" t="s">
        <v>264</v>
      </c>
      <c r="C372" s="133" t="s">
        <v>483</v>
      </c>
      <c r="D372" s="134" t="s">
        <v>263</v>
      </c>
      <c r="E372" s="83" t="s">
        <v>264</v>
      </c>
      <c r="F372" s="83" t="s">
        <v>265</v>
      </c>
      <c r="G372" s="135" t="s">
        <v>269</v>
      </c>
      <c r="H372" s="83" t="s">
        <v>267</v>
      </c>
      <c r="I372" s="135" t="s">
        <v>911</v>
      </c>
      <c r="K372" s="137" t="s">
        <v>1271</v>
      </c>
      <c r="L372" s="135" t="s">
        <v>911</v>
      </c>
      <c r="M372" s="135" t="s">
        <v>911</v>
      </c>
      <c r="O372" s="34" t="s">
        <v>1490</v>
      </c>
      <c r="P372" s="34" t="s">
        <v>243</v>
      </c>
      <c r="Q372" s="83">
        <v>2025</v>
      </c>
    </row>
    <row r="373" spans="1:17" ht="15" x14ac:dyDescent="0.2">
      <c r="A373" s="83"/>
      <c r="B373" s="83" t="s">
        <v>264</v>
      </c>
      <c r="C373" s="133" t="s">
        <v>484</v>
      </c>
      <c r="D373" s="134" t="s">
        <v>263</v>
      </c>
      <c r="E373" s="83" t="s">
        <v>264</v>
      </c>
      <c r="F373" s="83" t="s">
        <v>265</v>
      </c>
      <c r="G373" s="135" t="s">
        <v>266</v>
      </c>
      <c r="H373" s="83" t="s">
        <v>267</v>
      </c>
      <c r="I373" s="135" t="s">
        <v>912</v>
      </c>
      <c r="K373" s="137" t="s">
        <v>1272</v>
      </c>
      <c r="L373" s="135" t="s">
        <v>912</v>
      </c>
      <c r="M373" s="135" t="s">
        <v>912</v>
      </c>
      <c r="O373" s="34" t="s">
        <v>1490</v>
      </c>
      <c r="P373" s="34" t="s">
        <v>243</v>
      </c>
      <c r="Q373" s="83">
        <v>2025</v>
      </c>
    </row>
    <row r="374" spans="1:17" ht="15" x14ac:dyDescent="0.2">
      <c r="A374" s="83"/>
      <c r="B374" s="83" t="s">
        <v>264</v>
      </c>
      <c r="C374" s="133" t="s">
        <v>485</v>
      </c>
      <c r="D374" s="134" t="s">
        <v>263</v>
      </c>
      <c r="E374" s="83" t="s">
        <v>264</v>
      </c>
      <c r="F374" s="83" t="s">
        <v>265</v>
      </c>
      <c r="G374" s="135" t="s">
        <v>266</v>
      </c>
      <c r="H374" s="83" t="s">
        <v>267</v>
      </c>
      <c r="I374" s="135" t="s">
        <v>913</v>
      </c>
      <c r="K374" s="137" t="s">
        <v>1273</v>
      </c>
      <c r="L374" s="135" t="s">
        <v>913</v>
      </c>
      <c r="M374" s="135" t="s">
        <v>913</v>
      </c>
      <c r="O374" s="34" t="s">
        <v>1490</v>
      </c>
      <c r="P374" s="34" t="s">
        <v>243</v>
      </c>
      <c r="Q374" s="83">
        <v>2025</v>
      </c>
    </row>
    <row r="375" spans="1:17" ht="15" x14ac:dyDescent="0.2">
      <c r="A375" s="83"/>
      <c r="B375" s="83" t="s">
        <v>264</v>
      </c>
      <c r="C375" s="133" t="s">
        <v>486</v>
      </c>
      <c r="D375" s="134" t="s">
        <v>263</v>
      </c>
      <c r="E375" s="83" t="s">
        <v>264</v>
      </c>
      <c r="F375" s="83" t="s">
        <v>265</v>
      </c>
      <c r="G375" s="135" t="s">
        <v>266</v>
      </c>
      <c r="H375" s="83" t="s">
        <v>267</v>
      </c>
      <c r="I375" s="135" t="s">
        <v>914</v>
      </c>
      <c r="K375" s="137" t="s">
        <v>1274</v>
      </c>
      <c r="L375" s="135" t="s">
        <v>914</v>
      </c>
      <c r="M375" s="135" t="s">
        <v>914</v>
      </c>
      <c r="O375" s="34" t="s">
        <v>1490</v>
      </c>
      <c r="P375" s="34" t="s">
        <v>243</v>
      </c>
      <c r="Q375" s="83">
        <v>2025</v>
      </c>
    </row>
    <row r="376" spans="1:17" ht="15" x14ac:dyDescent="0.2">
      <c r="A376" s="83"/>
      <c r="B376" s="83" t="s">
        <v>264</v>
      </c>
      <c r="C376" s="133" t="s">
        <v>487</v>
      </c>
      <c r="D376" s="134" t="s">
        <v>263</v>
      </c>
      <c r="E376" s="83" t="s">
        <v>264</v>
      </c>
      <c r="F376" s="83" t="s">
        <v>265</v>
      </c>
      <c r="G376" s="135" t="s">
        <v>269</v>
      </c>
      <c r="H376" s="83" t="s">
        <v>267</v>
      </c>
      <c r="I376" s="135" t="s">
        <v>915</v>
      </c>
      <c r="K376" s="137" t="s">
        <v>1275</v>
      </c>
      <c r="L376" s="135" t="s">
        <v>915</v>
      </c>
      <c r="M376" s="135" t="s">
        <v>915</v>
      </c>
      <c r="O376" s="34" t="s">
        <v>1490</v>
      </c>
      <c r="P376" s="34" t="s">
        <v>243</v>
      </c>
      <c r="Q376" s="83">
        <v>2025</v>
      </c>
    </row>
    <row r="377" spans="1:17" ht="15" x14ac:dyDescent="0.2">
      <c r="A377" s="83"/>
      <c r="B377" s="83" t="s">
        <v>264</v>
      </c>
      <c r="C377" s="133" t="s">
        <v>488</v>
      </c>
      <c r="D377" s="134" t="s">
        <v>263</v>
      </c>
      <c r="E377" s="83" t="s">
        <v>264</v>
      </c>
      <c r="F377" s="83" t="s">
        <v>265</v>
      </c>
      <c r="G377" s="135" t="s">
        <v>266</v>
      </c>
      <c r="H377" s="83" t="s">
        <v>267</v>
      </c>
      <c r="I377" s="135" t="s">
        <v>916</v>
      </c>
      <c r="K377" s="137" t="s">
        <v>1276</v>
      </c>
      <c r="L377" s="135" t="s">
        <v>916</v>
      </c>
      <c r="M377" s="135" t="s">
        <v>916</v>
      </c>
      <c r="O377" s="34" t="s">
        <v>1490</v>
      </c>
      <c r="P377" s="34" t="s">
        <v>243</v>
      </c>
      <c r="Q377" s="83">
        <v>2025</v>
      </c>
    </row>
    <row r="378" spans="1:17" ht="15" x14ac:dyDescent="0.2">
      <c r="A378" s="83"/>
      <c r="B378" s="83" t="s">
        <v>264</v>
      </c>
      <c r="C378" s="133" t="s">
        <v>489</v>
      </c>
      <c r="D378" s="134" t="s">
        <v>263</v>
      </c>
      <c r="E378" s="83" t="s">
        <v>264</v>
      </c>
      <c r="F378" s="83" t="s">
        <v>265</v>
      </c>
      <c r="G378" s="135" t="s">
        <v>271</v>
      </c>
      <c r="H378" s="83" t="s">
        <v>267</v>
      </c>
      <c r="I378" s="135" t="s">
        <v>917</v>
      </c>
      <c r="K378" s="137" t="s">
        <v>1277</v>
      </c>
      <c r="L378" s="135" t="s">
        <v>917</v>
      </c>
      <c r="M378" s="135" t="s">
        <v>917</v>
      </c>
      <c r="O378" s="34" t="s">
        <v>1491</v>
      </c>
      <c r="P378" s="34" t="s">
        <v>243</v>
      </c>
      <c r="Q378" s="83">
        <v>2025</v>
      </c>
    </row>
    <row r="379" spans="1:17" ht="15" x14ac:dyDescent="0.2">
      <c r="A379" s="83"/>
      <c r="B379" s="83" t="s">
        <v>264</v>
      </c>
      <c r="C379" s="133" t="s">
        <v>490</v>
      </c>
      <c r="D379" s="134" t="s">
        <v>263</v>
      </c>
      <c r="E379" s="83" t="s">
        <v>264</v>
      </c>
      <c r="F379" s="83" t="s">
        <v>265</v>
      </c>
      <c r="G379" s="135" t="s">
        <v>266</v>
      </c>
      <c r="H379" s="83" t="s">
        <v>267</v>
      </c>
      <c r="I379" s="135" t="s">
        <v>918</v>
      </c>
      <c r="K379" s="137" t="s">
        <v>1278</v>
      </c>
      <c r="L379" s="135" t="s">
        <v>918</v>
      </c>
      <c r="M379" s="135" t="s">
        <v>918</v>
      </c>
      <c r="O379" s="34" t="s">
        <v>1490</v>
      </c>
      <c r="P379" s="34" t="s">
        <v>243</v>
      </c>
      <c r="Q379" s="83">
        <v>2025</v>
      </c>
    </row>
    <row r="380" spans="1:17" ht="15" x14ac:dyDescent="0.2">
      <c r="A380" s="83"/>
      <c r="B380" s="83" t="s">
        <v>264</v>
      </c>
      <c r="C380" s="133" t="s">
        <v>491</v>
      </c>
      <c r="D380" s="134" t="s">
        <v>263</v>
      </c>
      <c r="E380" s="83" t="s">
        <v>264</v>
      </c>
      <c r="F380" s="83" t="s">
        <v>265</v>
      </c>
      <c r="G380" s="135" t="s">
        <v>268</v>
      </c>
      <c r="H380" s="83" t="s">
        <v>267</v>
      </c>
      <c r="I380" s="135" t="s">
        <v>919</v>
      </c>
      <c r="K380" s="137" t="s">
        <v>1279</v>
      </c>
      <c r="L380" s="135" t="s">
        <v>919</v>
      </c>
      <c r="M380" s="135" t="s">
        <v>919</v>
      </c>
      <c r="O380" s="34" t="s">
        <v>1491</v>
      </c>
      <c r="P380" s="34" t="s">
        <v>243</v>
      </c>
      <c r="Q380" s="83">
        <v>2025</v>
      </c>
    </row>
    <row r="381" spans="1:17" ht="15" x14ac:dyDescent="0.2">
      <c r="A381" s="83"/>
      <c r="B381" s="83" t="s">
        <v>264</v>
      </c>
      <c r="C381" s="133" t="s">
        <v>492</v>
      </c>
      <c r="D381" s="134" t="s">
        <v>263</v>
      </c>
      <c r="E381" s="83" t="s">
        <v>264</v>
      </c>
      <c r="F381" s="83" t="s">
        <v>265</v>
      </c>
      <c r="G381" s="135" t="s">
        <v>268</v>
      </c>
      <c r="H381" s="83" t="s">
        <v>267</v>
      </c>
      <c r="I381" s="135" t="s">
        <v>920</v>
      </c>
      <c r="K381" s="137" t="s">
        <v>1280</v>
      </c>
      <c r="L381" s="135" t="s">
        <v>920</v>
      </c>
      <c r="M381" s="135" t="s">
        <v>920</v>
      </c>
      <c r="O381" s="34" t="s">
        <v>1491</v>
      </c>
      <c r="P381" s="34" t="s">
        <v>243</v>
      </c>
      <c r="Q381" s="83">
        <v>2025</v>
      </c>
    </row>
    <row r="382" spans="1:17" ht="15" x14ac:dyDescent="0.2">
      <c r="A382" s="83"/>
      <c r="B382" s="83" t="s">
        <v>264</v>
      </c>
      <c r="C382" s="133" t="s">
        <v>493</v>
      </c>
      <c r="D382" s="134" t="s">
        <v>263</v>
      </c>
      <c r="E382" s="83" t="s">
        <v>264</v>
      </c>
      <c r="F382" s="83" t="s">
        <v>265</v>
      </c>
      <c r="G382" s="135" t="s">
        <v>266</v>
      </c>
      <c r="H382" s="83" t="s">
        <v>267</v>
      </c>
      <c r="I382" s="135" t="s">
        <v>921</v>
      </c>
      <c r="K382" s="137" t="s">
        <v>1281</v>
      </c>
      <c r="L382" s="135" t="s">
        <v>921</v>
      </c>
      <c r="M382" s="135" t="s">
        <v>921</v>
      </c>
      <c r="O382" s="34" t="s">
        <v>1490</v>
      </c>
      <c r="P382" s="34" t="s">
        <v>243</v>
      </c>
      <c r="Q382" s="83">
        <v>2025</v>
      </c>
    </row>
    <row r="383" spans="1:17" ht="15" x14ac:dyDescent="0.2">
      <c r="A383" s="83"/>
      <c r="B383" s="83" t="s">
        <v>264</v>
      </c>
      <c r="C383" s="133" t="s">
        <v>494</v>
      </c>
      <c r="D383" s="134" t="s">
        <v>263</v>
      </c>
      <c r="E383" s="83" t="s">
        <v>264</v>
      </c>
      <c r="F383" s="83" t="s">
        <v>265</v>
      </c>
      <c r="G383" s="135" t="s">
        <v>266</v>
      </c>
      <c r="H383" s="83" t="s">
        <v>267</v>
      </c>
      <c r="I383" s="135" t="s">
        <v>922</v>
      </c>
      <c r="K383" s="137" t="s">
        <v>1282</v>
      </c>
      <c r="L383" s="135" t="s">
        <v>922</v>
      </c>
      <c r="M383" s="135" t="s">
        <v>922</v>
      </c>
      <c r="O383" s="34" t="s">
        <v>1490</v>
      </c>
      <c r="P383" s="34" t="s">
        <v>243</v>
      </c>
      <c r="Q383" s="83">
        <v>2025</v>
      </c>
    </row>
    <row r="384" spans="1:17" ht="15" x14ac:dyDescent="0.2">
      <c r="A384" s="83"/>
      <c r="B384" s="83" t="s">
        <v>264</v>
      </c>
      <c r="C384" s="133" t="s">
        <v>495</v>
      </c>
      <c r="D384" s="134" t="s">
        <v>263</v>
      </c>
      <c r="E384" s="83" t="s">
        <v>264</v>
      </c>
      <c r="F384" s="83" t="s">
        <v>265</v>
      </c>
      <c r="G384" s="135" t="s">
        <v>268</v>
      </c>
      <c r="H384" s="83" t="s">
        <v>267</v>
      </c>
      <c r="I384" s="135" t="s">
        <v>923</v>
      </c>
      <c r="K384" s="137" t="s">
        <v>1283</v>
      </c>
      <c r="L384" s="135" t="s">
        <v>923</v>
      </c>
      <c r="M384" s="135" t="s">
        <v>923</v>
      </c>
      <c r="O384" s="34" t="s">
        <v>1491</v>
      </c>
      <c r="P384" s="34" t="s">
        <v>243</v>
      </c>
      <c r="Q384" s="83">
        <v>2025</v>
      </c>
    </row>
    <row r="385" spans="1:17" ht="15" x14ac:dyDescent="0.2">
      <c r="A385" s="83"/>
      <c r="B385" s="83" t="s">
        <v>264</v>
      </c>
      <c r="C385" s="133" t="s">
        <v>496</v>
      </c>
      <c r="D385" s="134" t="s">
        <v>263</v>
      </c>
      <c r="E385" s="83" t="s">
        <v>264</v>
      </c>
      <c r="F385" s="83" t="s">
        <v>265</v>
      </c>
      <c r="G385" s="135" t="s">
        <v>271</v>
      </c>
      <c r="H385" s="83" t="s">
        <v>267</v>
      </c>
      <c r="I385" s="135" t="s">
        <v>924</v>
      </c>
      <c r="K385" s="137" t="s">
        <v>1284</v>
      </c>
      <c r="L385" s="135" t="s">
        <v>924</v>
      </c>
      <c r="M385" s="135" t="s">
        <v>924</v>
      </c>
      <c r="O385" s="34" t="s">
        <v>1491</v>
      </c>
      <c r="P385" s="34" t="s">
        <v>243</v>
      </c>
      <c r="Q385" s="83">
        <v>2025</v>
      </c>
    </row>
    <row r="386" spans="1:17" ht="15" x14ac:dyDescent="0.2">
      <c r="A386" s="83"/>
      <c r="B386" s="83" t="s">
        <v>264</v>
      </c>
      <c r="C386" s="133" t="s">
        <v>497</v>
      </c>
      <c r="D386" s="134" t="s">
        <v>263</v>
      </c>
      <c r="E386" s="83" t="s">
        <v>264</v>
      </c>
      <c r="F386" s="83" t="s">
        <v>265</v>
      </c>
      <c r="G386" s="135" t="s">
        <v>266</v>
      </c>
      <c r="H386" s="83" t="s">
        <v>267</v>
      </c>
      <c r="I386" s="135" t="s">
        <v>925</v>
      </c>
      <c r="K386" s="137" t="s">
        <v>1285</v>
      </c>
      <c r="L386" s="135" t="s">
        <v>925</v>
      </c>
      <c r="M386" s="135" t="s">
        <v>925</v>
      </c>
      <c r="O386" s="34" t="s">
        <v>1490</v>
      </c>
      <c r="P386" s="34" t="s">
        <v>243</v>
      </c>
      <c r="Q386" s="83">
        <v>2025</v>
      </c>
    </row>
    <row r="387" spans="1:17" ht="15" x14ac:dyDescent="0.2">
      <c r="A387" s="83"/>
      <c r="B387" s="83" t="s">
        <v>264</v>
      </c>
      <c r="C387" s="133" t="s">
        <v>498</v>
      </c>
      <c r="D387" s="134" t="s">
        <v>263</v>
      </c>
      <c r="E387" s="83" t="s">
        <v>264</v>
      </c>
      <c r="F387" s="83" t="s">
        <v>265</v>
      </c>
      <c r="G387" s="135" t="s">
        <v>266</v>
      </c>
      <c r="H387" s="83" t="s">
        <v>267</v>
      </c>
      <c r="I387" s="135" t="s">
        <v>926</v>
      </c>
      <c r="K387" s="137" t="s">
        <v>1286</v>
      </c>
      <c r="L387" s="135" t="s">
        <v>926</v>
      </c>
      <c r="M387" s="135" t="s">
        <v>926</v>
      </c>
      <c r="O387" s="34" t="s">
        <v>1490</v>
      </c>
      <c r="P387" s="34" t="s">
        <v>243</v>
      </c>
      <c r="Q387" s="83">
        <v>2025</v>
      </c>
    </row>
    <row r="388" spans="1:17" ht="15" x14ac:dyDescent="0.2">
      <c r="A388" s="83"/>
      <c r="B388" s="83" t="s">
        <v>264</v>
      </c>
      <c r="C388" s="133" t="s">
        <v>499</v>
      </c>
      <c r="D388" s="134" t="s">
        <v>263</v>
      </c>
      <c r="E388" s="83" t="s">
        <v>264</v>
      </c>
      <c r="F388" s="83" t="s">
        <v>265</v>
      </c>
      <c r="G388" s="135" t="s">
        <v>266</v>
      </c>
      <c r="H388" s="83" t="s">
        <v>267</v>
      </c>
      <c r="I388" s="135" t="s">
        <v>927</v>
      </c>
      <c r="K388" s="137" t="s">
        <v>1287</v>
      </c>
      <c r="L388" s="135" t="s">
        <v>927</v>
      </c>
      <c r="M388" s="135" t="s">
        <v>927</v>
      </c>
      <c r="O388" s="34" t="s">
        <v>1490</v>
      </c>
      <c r="P388" s="34" t="s">
        <v>243</v>
      </c>
      <c r="Q388" s="83">
        <v>2025</v>
      </c>
    </row>
    <row r="389" spans="1:17" ht="15" x14ac:dyDescent="0.2">
      <c r="A389" s="83"/>
      <c r="B389" s="83" t="s">
        <v>264</v>
      </c>
      <c r="C389" s="133" t="s">
        <v>500</v>
      </c>
      <c r="D389" s="134" t="s">
        <v>263</v>
      </c>
      <c r="E389" s="83" t="s">
        <v>264</v>
      </c>
      <c r="F389" s="83" t="s">
        <v>265</v>
      </c>
      <c r="G389" s="135" t="s">
        <v>271</v>
      </c>
      <c r="H389" s="83" t="s">
        <v>267</v>
      </c>
      <c r="I389" s="135" t="s">
        <v>928</v>
      </c>
      <c r="K389" s="137" t="s">
        <v>1288</v>
      </c>
      <c r="L389" s="135" t="s">
        <v>928</v>
      </c>
      <c r="M389" s="135" t="s">
        <v>928</v>
      </c>
      <c r="O389" s="34" t="s">
        <v>1491</v>
      </c>
      <c r="P389" s="34" t="s">
        <v>243</v>
      </c>
      <c r="Q389" s="83">
        <v>2025</v>
      </c>
    </row>
    <row r="390" spans="1:17" ht="15" x14ac:dyDescent="0.2">
      <c r="A390" s="83"/>
      <c r="B390" s="83" t="s">
        <v>264</v>
      </c>
      <c r="C390" s="133" t="s">
        <v>501</v>
      </c>
      <c r="D390" s="134" t="s">
        <v>263</v>
      </c>
      <c r="E390" s="83" t="s">
        <v>264</v>
      </c>
      <c r="F390" s="83" t="s">
        <v>265</v>
      </c>
      <c r="G390" s="135" t="s">
        <v>268</v>
      </c>
      <c r="H390" s="83" t="s">
        <v>267</v>
      </c>
      <c r="I390" s="135" t="s">
        <v>929</v>
      </c>
      <c r="K390" s="137" t="s">
        <v>1289</v>
      </c>
      <c r="L390" s="135" t="s">
        <v>929</v>
      </c>
      <c r="M390" s="135" t="s">
        <v>929</v>
      </c>
      <c r="O390" s="34" t="s">
        <v>1491</v>
      </c>
      <c r="P390" s="34" t="s">
        <v>243</v>
      </c>
      <c r="Q390" s="83">
        <v>2025</v>
      </c>
    </row>
    <row r="391" spans="1:17" ht="15" x14ac:dyDescent="0.2">
      <c r="A391" s="83"/>
      <c r="B391" s="83" t="s">
        <v>264</v>
      </c>
      <c r="C391" s="133" t="s">
        <v>502</v>
      </c>
      <c r="D391" s="134" t="s">
        <v>263</v>
      </c>
      <c r="E391" s="83" t="s">
        <v>264</v>
      </c>
      <c r="F391" s="83" t="s">
        <v>265</v>
      </c>
      <c r="G391" s="135" t="s">
        <v>268</v>
      </c>
      <c r="H391" s="83" t="s">
        <v>267</v>
      </c>
      <c r="I391" s="135" t="s">
        <v>930</v>
      </c>
      <c r="K391" s="137" t="s">
        <v>1290</v>
      </c>
      <c r="L391" s="135" t="s">
        <v>930</v>
      </c>
      <c r="M391" s="135" t="s">
        <v>930</v>
      </c>
      <c r="O391" s="34" t="s">
        <v>1491</v>
      </c>
      <c r="P391" s="34" t="s">
        <v>243</v>
      </c>
      <c r="Q391" s="83">
        <v>2025</v>
      </c>
    </row>
    <row r="392" spans="1:17" ht="15" x14ac:dyDescent="0.2">
      <c r="A392" s="83"/>
      <c r="B392" s="83" t="s">
        <v>264</v>
      </c>
      <c r="C392" s="133" t="s">
        <v>503</v>
      </c>
      <c r="D392" s="134" t="s">
        <v>263</v>
      </c>
      <c r="E392" s="83" t="s">
        <v>264</v>
      </c>
      <c r="F392" s="83" t="s">
        <v>265</v>
      </c>
      <c r="G392" s="135" t="s">
        <v>268</v>
      </c>
      <c r="H392" s="83" t="s">
        <v>267</v>
      </c>
      <c r="I392" s="135" t="s">
        <v>931</v>
      </c>
      <c r="K392" s="137" t="s">
        <v>1291</v>
      </c>
      <c r="L392" s="135" t="s">
        <v>931</v>
      </c>
      <c r="M392" s="135" t="s">
        <v>931</v>
      </c>
      <c r="O392" s="34" t="s">
        <v>1491</v>
      </c>
      <c r="P392" s="34" t="s">
        <v>243</v>
      </c>
      <c r="Q392" s="83">
        <v>2025</v>
      </c>
    </row>
    <row r="393" spans="1:17" ht="15" x14ac:dyDescent="0.2">
      <c r="A393" s="83"/>
      <c r="B393" s="83" t="s">
        <v>264</v>
      </c>
      <c r="C393" s="133" t="s">
        <v>504</v>
      </c>
      <c r="D393" s="134" t="s">
        <v>263</v>
      </c>
      <c r="E393" s="83" t="s">
        <v>264</v>
      </c>
      <c r="F393" s="83" t="s">
        <v>265</v>
      </c>
      <c r="G393" s="135" t="s">
        <v>266</v>
      </c>
      <c r="H393" s="83" t="s">
        <v>267</v>
      </c>
      <c r="I393" s="135" t="s">
        <v>932</v>
      </c>
      <c r="K393" s="137" t="s">
        <v>1292</v>
      </c>
      <c r="L393" s="135" t="s">
        <v>932</v>
      </c>
      <c r="M393" s="135" t="s">
        <v>932</v>
      </c>
      <c r="O393" s="34" t="s">
        <v>1490</v>
      </c>
      <c r="P393" s="34" t="s">
        <v>243</v>
      </c>
      <c r="Q393" s="83">
        <v>2025</v>
      </c>
    </row>
    <row r="394" spans="1:17" ht="15" x14ac:dyDescent="0.2">
      <c r="A394" s="83"/>
      <c r="B394" s="83" t="s">
        <v>264</v>
      </c>
      <c r="C394" s="133" t="s">
        <v>505</v>
      </c>
      <c r="D394" s="134" t="s">
        <v>263</v>
      </c>
      <c r="E394" s="83" t="s">
        <v>264</v>
      </c>
      <c r="F394" s="83" t="s">
        <v>265</v>
      </c>
      <c r="G394" s="135" t="s">
        <v>271</v>
      </c>
      <c r="H394" s="83" t="s">
        <v>267</v>
      </c>
      <c r="I394" s="135" t="s">
        <v>933</v>
      </c>
      <c r="K394" s="137" t="s">
        <v>1293</v>
      </c>
      <c r="L394" s="135" t="s">
        <v>933</v>
      </c>
      <c r="M394" s="135" t="s">
        <v>933</v>
      </c>
      <c r="O394" s="34" t="s">
        <v>1492</v>
      </c>
      <c r="P394" s="34" t="s">
        <v>243</v>
      </c>
      <c r="Q394" s="83">
        <v>2025</v>
      </c>
    </row>
    <row r="395" spans="1:17" ht="15" x14ac:dyDescent="0.2">
      <c r="A395" s="83"/>
      <c r="B395" s="83" t="s">
        <v>264</v>
      </c>
      <c r="C395" s="133" t="s">
        <v>506</v>
      </c>
      <c r="D395" s="134" t="s">
        <v>263</v>
      </c>
      <c r="E395" s="83" t="s">
        <v>264</v>
      </c>
      <c r="F395" s="83" t="s">
        <v>265</v>
      </c>
      <c r="G395" s="135" t="s">
        <v>266</v>
      </c>
      <c r="H395" s="83" t="s">
        <v>267</v>
      </c>
      <c r="I395" s="135" t="s">
        <v>934</v>
      </c>
      <c r="K395" s="137" t="s">
        <v>1294</v>
      </c>
      <c r="L395" s="135" t="s">
        <v>934</v>
      </c>
      <c r="M395" s="135" t="s">
        <v>934</v>
      </c>
      <c r="O395" s="34" t="s">
        <v>1493</v>
      </c>
      <c r="P395" s="34" t="s">
        <v>243</v>
      </c>
      <c r="Q395" s="83">
        <v>2025</v>
      </c>
    </row>
    <row r="396" spans="1:17" ht="15" x14ac:dyDescent="0.2">
      <c r="A396" s="83"/>
      <c r="B396" s="83" t="s">
        <v>264</v>
      </c>
      <c r="C396" s="133" t="s">
        <v>507</v>
      </c>
      <c r="D396" s="134" t="s">
        <v>263</v>
      </c>
      <c r="E396" s="83" t="s">
        <v>264</v>
      </c>
      <c r="F396" s="83" t="s">
        <v>265</v>
      </c>
      <c r="G396" s="135" t="s">
        <v>266</v>
      </c>
      <c r="H396" s="83" t="s">
        <v>267</v>
      </c>
      <c r="I396" s="135" t="s">
        <v>935</v>
      </c>
      <c r="K396" s="137" t="s">
        <v>1295</v>
      </c>
      <c r="L396" s="135" t="s">
        <v>935</v>
      </c>
      <c r="M396" s="135" t="s">
        <v>935</v>
      </c>
      <c r="O396" s="34" t="s">
        <v>1494</v>
      </c>
      <c r="P396" s="34" t="s">
        <v>243</v>
      </c>
      <c r="Q396" s="83">
        <v>2025</v>
      </c>
    </row>
    <row r="397" spans="1:17" ht="15" x14ac:dyDescent="0.2">
      <c r="A397" s="83"/>
      <c r="B397" s="83" t="s">
        <v>264</v>
      </c>
      <c r="C397" s="133" t="s">
        <v>508</v>
      </c>
      <c r="D397" s="134" t="s">
        <v>263</v>
      </c>
      <c r="E397" s="83" t="s">
        <v>264</v>
      </c>
      <c r="F397" s="83" t="s">
        <v>265</v>
      </c>
      <c r="G397" s="135" t="s">
        <v>266</v>
      </c>
      <c r="H397" s="83" t="s">
        <v>267</v>
      </c>
      <c r="I397" s="135" t="s">
        <v>936</v>
      </c>
      <c r="K397" s="137" t="s">
        <v>1296</v>
      </c>
      <c r="L397" s="135" t="s">
        <v>936</v>
      </c>
      <c r="M397" s="135" t="s">
        <v>936</v>
      </c>
      <c r="O397" s="34" t="s">
        <v>1495</v>
      </c>
      <c r="P397" s="34" t="s">
        <v>243</v>
      </c>
      <c r="Q397" s="83">
        <v>2025</v>
      </c>
    </row>
    <row r="398" spans="1:17" ht="15" x14ac:dyDescent="0.2">
      <c r="A398" s="83"/>
      <c r="B398" s="83" t="s">
        <v>264</v>
      </c>
      <c r="C398" s="133" t="s">
        <v>509</v>
      </c>
      <c r="D398" s="134" t="s">
        <v>263</v>
      </c>
      <c r="E398" s="83" t="s">
        <v>264</v>
      </c>
      <c r="F398" s="83" t="s">
        <v>265</v>
      </c>
      <c r="G398" s="135" t="s">
        <v>269</v>
      </c>
      <c r="H398" s="83" t="s">
        <v>267</v>
      </c>
      <c r="I398" s="135" t="s">
        <v>937</v>
      </c>
      <c r="K398" s="137" t="s">
        <v>1297</v>
      </c>
      <c r="L398" s="135" t="s">
        <v>937</v>
      </c>
      <c r="M398" s="135" t="s">
        <v>937</v>
      </c>
      <c r="O398" s="34" t="s">
        <v>1490</v>
      </c>
      <c r="P398" s="34" t="s">
        <v>243</v>
      </c>
      <c r="Q398" s="83">
        <v>2025</v>
      </c>
    </row>
    <row r="399" spans="1:17" ht="15" x14ac:dyDescent="0.2">
      <c r="A399" s="83"/>
      <c r="B399" s="83" t="s">
        <v>264</v>
      </c>
      <c r="C399" s="133" t="s">
        <v>510</v>
      </c>
      <c r="D399" s="134" t="s">
        <v>263</v>
      </c>
      <c r="E399" s="83" t="s">
        <v>264</v>
      </c>
      <c r="F399" s="83" t="s">
        <v>265</v>
      </c>
      <c r="G399" s="135" t="s">
        <v>266</v>
      </c>
      <c r="H399" s="83" t="s">
        <v>267</v>
      </c>
      <c r="I399" s="135" t="s">
        <v>938</v>
      </c>
      <c r="K399" s="137" t="s">
        <v>1298</v>
      </c>
      <c r="L399" s="135" t="s">
        <v>938</v>
      </c>
      <c r="M399" s="135" t="s">
        <v>938</v>
      </c>
      <c r="O399" s="34" t="s">
        <v>1490</v>
      </c>
      <c r="P399" s="34" t="s">
        <v>243</v>
      </c>
      <c r="Q399" s="83">
        <v>2025</v>
      </c>
    </row>
    <row r="400" spans="1:17" ht="15" x14ac:dyDescent="0.2">
      <c r="A400" s="83"/>
      <c r="B400" s="83" t="s">
        <v>264</v>
      </c>
      <c r="C400" s="133" t="s">
        <v>511</v>
      </c>
      <c r="D400" s="134" t="s">
        <v>263</v>
      </c>
      <c r="E400" s="83" t="s">
        <v>264</v>
      </c>
      <c r="F400" s="83" t="s">
        <v>265</v>
      </c>
      <c r="G400" s="135" t="s">
        <v>266</v>
      </c>
      <c r="H400" s="83" t="s">
        <v>267</v>
      </c>
      <c r="I400" s="135" t="s">
        <v>939</v>
      </c>
      <c r="K400" s="137" t="s">
        <v>1299</v>
      </c>
      <c r="L400" s="135" t="s">
        <v>939</v>
      </c>
      <c r="M400" s="135" t="s">
        <v>939</v>
      </c>
      <c r="O400" s="34" t="s">
        <v>1490</v>
      </c>
      <c r="P400" s="34" t="s">
        <v>243</v>
      </c>
      <c r="Q400" s="83">
        <v>2025</v>
      </c>
    </row>
    <row r="401" spans="1:17" ht="15" x14ac:dyDescent="0.2">
      <c r="A401" s="83"/>
      <c r="B401" s="83" t="s">
        <v>264</v>
      </c>
      <c r="C401" s="133" t="s">
        <v>512</v>
      </c>
      <c r="D401" s="134" t="s">
        <v>263</v>
      </c>
      <c r="E401" s="83" t="s">
        <v>264</v>
      </c>
      <c r="F401" s="83" t="s">
        <v>265</v>
      </c>
      <c r="G401" s="135" t="s">
        <v>266</v>
      </c>
      <c r="H401" s="83" t="s">
        <v>267</v>
      </c>
      <c r="I401" s="135" t="s">
        <v>940</v>
      </c>
      <c r="K401" s="137" t="s">
        <v>1300</v>
      </c>
      <c r="L401" s="135" t="s">
        <v>940</v>
      </c>
      <c r="M401" s="135" t="s">
        <v>940</v>
      </c>
      <c r="O401" s="34" t="s">
        <v>1490</v>
      </c>
      <c r="P401" s="34" t="s">
        <v>243</v>
      </c>
      <c r="Q401" s="83">
        <v>2025</v>
      </c>
    </row>
    <row r="402" spans="1:17" ht="15" x14ac:dyDescent="0.2">
      <c r="A402" s="83"/>
      <c r="B402" s="83" t="s">
        <v>264</v>
      </c>
      <c r="C402" s="133" t="s">
        <v>513</v>
      </c>
      <c r="D402" s="134" t="s">
        <v>263</v>
      </c>
      <c r="E402" s="83" t="s">
        <v>264</v>
      </c>
      <c r="F402" s="83" t="s">
        <v>265</v>
      </c>
      <c r="G402" s="135" t="s">
        <v>271</v>
      </c>
      <c r="H402" s="83" t="s">
        <v>267</v>
      </c>
      <c r="I402" s="135" t="s">
        <v>941</v>
      </c>
      <c r="K402" s="137" t="s">
        <v>1301</v>
      </c>
      <c r="L402" s="135" t="s">
        <v>941</v>
      </c>
      <c r="M402" s="135" t="s">
        <v>941</v>
      </c>
      <c r="O402" s="34" t="s">
        <v>1495</v>
      </c>
      <c r="P402" s="34" t="s">
        <v>243</v>
      </c>
      <c r="Q402" s="83">
        <v>2025</v>
      </c>
    </row>
    <row r="403" spans="1:17" ht="15" x14ac:dyDescent="0.2">
      <c r="A403" s="83"/>
      <c r="B403" s="83" t="s">
        <v>264</v>
      </c>
      <c r="C403" s="133" t="s">
        <v>514</v>
      </c>
      <c r="D403" s="134" t="s">
        <v>263</v>
      </c>
      <c r="E403" s="83" t="s">
        <v>264</v>
      </c>
      <c r="F403" s="83" t="s">
        <v>265</v>
      </c>
      <c r="G403" s="135" t="s">
        <v>266</v>
      </c>
      <c r="H403" s="83" t="s">
        <v>267</v>
      </c>
      <c r="I403" s="135" t="s">
        <v>942</v>
      </c>
      <c r="K403" s="137" t="s">
        <v>1302</v>
      </c>
      <c r="L403" s="135" t="s">
        <v>942</v>
      </c>
      <c r="M403" s="135" t="s">
        <v>942</v>
      </c>
      <c r="O403" s="34" t="s">
        <v>1490</v>
      </c>
      <c r="P403" s="34" t="s">
        <v>243</v>
      </c>
      <c r="Q403" s="83">
        <v>2025</v>
      </c>
    </row>
    <row r="404" spans="1:17" ht="15" x14ac:dyDescent="0.2">
      <c r="A404" s="83"/>
      <c r="B404" s="83" t="s">
        <v>264</v>
      </c>
      <c r="C404" s="133" t="s">
        <v>515</v>
      </c>
      <c r="D404" s="134" t="s">
        <v>263</v>
      </c>
      <c r="E404" s="83" t="s">
        <v>264</v>
      </c>
      <c r="F404" s="83" t="s">
        <v>265</v>
      </c>
      <c r="G404" s="135" t="s">
        <v>266</v>
      </c>
      <c r="H404" s="83" t="s">
        <v>267</v>
      </c>
      <c r="I404" s="135" t="s">
        <v>943</v>
      </c>
      <c r="K404" s="137" t="s">
        <v>1303</v>
      </c>
      <c r="L404" s="135" t="s">
        <v>943</v>
      </c>
      <c r="M404" s="135" t="s">
        <v>943</v>
      </c>
      <c r="O404" s="34" t="s">
        <v>1490</v>
      </c>
      <c r="P404" s="34" t="s">
        <v>243</v>
      </c>
      <c r="Q404" s="83">
        <v>2025</v>
      </c>
    </row>
    <row r="405" spans="1:17" ht="15" x14ac:dyDescent="0.2">
      <c r="A405" s="83"/>
      <c r="B405" s="83" t="s">
        <v>264</v>
      </c>
      <c r="C405" s="133" t="s">
        <v>516</v>
      </c>
      <c r="D405" s="134" t="s">
        <v>263</v>
      </c>
      <c r="E405" s="83" t="s">
        <v>264</v>
      </c>
      <c r="F405" s="83" t="s">
        <v>265</v>
      </c>
      <c r="G405" s="135" t="s">
        <v>268</v>
      </c>
      <c r="H405" s="83" t="s">
        <v>267</v>
      </c>
      <c r="I405" s="135" t="s">
        <v>944</v>
      </c>
      <c r="K405" s="137" t="s">
        <v>1304</v>
      </c>
      <c r="L405" s="135" t="s">
        <v>944</v>
      </c>
      <c r="M405" s="135" t="s">
        <v>944</v>
      </c>
      <c r="O405" s="34" t="s">
        <v>1496</v>
      </c>
      <c r="P405" s="34" t="s">
        <v>243</v>
      </c>
      <c r="Q405" s="83">
        <v>2025</v>
      </c>
    </row>
    <row r="406" spans="1:17" ht="15" x14ac:dyDescent="0.2">
      <c r="A406" s="83"/>
      <c r="B406" s="83" t="s">
        <v>264</v>
      </c>
      <c r="C406" s="133" t="s">
        <v>517</v>
      </c>
      <c r="D406" s="134" t="s">
        <v>263</v>
      </c>
      <c r="E406" s="83" t="s">
        <v>264</v>
      </c>
      <c r="F406" s="83" t="s">
        <v>265</v>
      </c>
      <c r="G406" s="135" t="s">
        <v>268</v>
      </c>
      <c r="H406" s="83" t="s">
        <v>267</v>
      </c>
      <c r="I406" s="135" t="s">
        <v>945</v>
      </c>
      <c r="K406" s="137" t="s">
        <v>1305</v>
      </c>
      <c r="L406" s="135" t="s">
        <v>945</v>
      </c>
      <c r="M406" s="135" t="s">
        <v>945</v>
      </c>
      <c r="O406" s="34" t="s">
        <v>1492</v>
      </c>
      <c r="P406" s="34" t="s">
        <v>243</v>
      </c>
      <c r="Q406" s="83">
        <v>2025</v>
      </c>
    </row>
    <row r="407" spans="1:17" ht="15" x14ac:dyDescent="0.2">
      <c r="A407" s="83"/>
      <c r="B407" s="83" t="s">
        <v>264</v>
      </c>
      <c r="C407" s="133" t="s">
        <v>518</v>
      </c>
      <c r="D407" s="134" t="s">
        <v>263</v>
      </c>
      <c r="E407" s="83" t="s">
        <v>264</v>
      </c>
      <c r="F407" s="83" t="s">
        <v>265</v>
      </c>
      <c r="G407" s="135" t="s">
        <v>271</v>
      </c>
      <c r="H407" s="83" t="s">
        <v>267</v>
      </c>
      <c r="I407" s="135" t="s">
        <v>946</v>
      </c>
      <c r="K407" s="137" t="s">
        <v>1306</v>
      </c>
      <c r="L407" s="135" t="s">
        <v>946</v>
      </c>
      <c r="M407" s="135" t="s">
        <v>946</v>
      </c>
      <c r="O407" s="34" t="s">
        <v>1497</v>
      </c>
      <c r="P407" s="34" t="s">
        <v>243</v>
      </c>
      <c r="Q407" s="83">
        <v>2025</v>
      </c>
    </row>
    <row r="408" spans="1:17" ht="15" x14ac:dyDescent="0.2">
      <c r="A408" s="83"/>
      <c r="B408" s="83" t="s">
        <v>264</v>
      </c>
      <c r="C408" s="133" t="s">
        <v>519</v>
      </c>
      <c r="D408" s="134" t="s">
        <v>263</v>
      </c>
      <c r="E408" s="83" t="s">
        <v>264</v>
      </c>
      <c r="F408" s="83" t="s">
        <v>265</v>
      </c>
      <c r="G408" s="135" t="s">
        <v>269</v>
      </c>
      <c r="H408" s="83" t="s">
        <v>267</v>
      </c>
      <c r="I408" s="135" t="s">
        <v>947</v>
      </c>
      <c r="K408" s="137" t="s">
        <v>1307</v>
      </c>
      <c r="L408" s="135" t="s">
        <v>947</v>
      </c>
      <c r="M408" s="135" t="s">
        <v>947</v>
      </c>
      <c r="O408" s="34" t="s">
        <v>1490</v>
      </c>
      <c r="P408" s="34" t="s">
        <v>243</v>
      </c>
      <c r="Q408" s="83">
        <v>2025</v>
      </c>
    </row>
    <row r="409" spans="1:17" ht="15" x14ac:dyDescent="0.2">
      <c r="A409" s="83"/>
      <c r="B409" s="83" t="s">
        <v>264</v>
      </c>
      <c r="C409" s="133" t="s">
        <v>520</v>
      </c>
      <c r="D409" s="134" t="s">
        <v>263</v>
      </c>
      <c r="E409" s="83" t="s">
        <v>264</v>
      </c>
      <c r="F409" s="83" t="s">
        <v>265</v>
      </c>
      <c r="G409" s="135" t="s">
        <v>268</v>
      </c>
      <c r="H409" s="83" t="s">
        <v>267</v>
      </c>
      <c r="I409" s="135" t="s">
        <v>948</v>
      </c>
      <c r="K409" s="137" t="s">
        <v>1308</v>
      </c>
      <c r="L409" s="135" t="s">
        <v>948</v>
      </c>
      <c r="M409" s="135" t="s">
        <v>948</v>
      </c>
      <c r="O409" s="34" t="s">
        <v>1491</v>
      </c>
      <c r="P409" s="34" t="s">
        <v>243</v>
      </c>
      <c r="Q409" s="83">
        <v>2025</v>
      </c>
    </row>
    <row r="410" spans="1:17" ht="15" x14ac:dyDescent="0.2">
      <c r="A410" s="83"/>
      <c r="B410" s="83" t="s">
        <v>264</v>
      </c>
      <c r="C410" s="133" t="s">
        <v>521</v>
      </c>
      <c r="D410" s="134" t="s">
        <v>263</v>
      </c>
      <c r="E410" s="83" t="s">
        <v>264</v>
      </c>
      <c r="F410" s="83" t="s">
        <v>265</v>
      </c>
      <c r="G410" s="135" t="s">
        <v>268</v>
      </c>
      <c r="H410" s="83" t="s">
        <v>267</v>
      </c>
      <c r="I410" s="135" t="s">
        <v>949</v>
      </c>
      <c r="K410" s="137" t="s">
        <v>1309</v>
      </c>
      <c r="L410" s="135" t="s">
        <v>949</v>
      </c>
      <c r="M410" s="135" t="s">
        <v>949</v>
      </c>
      <c r="O410" s="34" t="s">
        <v>1491</v>
      </c>
      <c r="P410" s="34" t="s">
        <v>243</v>
      </c>
      <c r="Q410" s="83">
        <v>2025</v>
      </c>
    </row>
    <row r="411" spans="1:17" ht="15" x14ac:dyDescent="0.2">
      <c r="A411" s="83"/>
      <c r="B411" s="83" t="s">
        <v>264</v>
      </c>
      <c r="C411" s="133" t="s">
        <v>522</v>
      </c>
      <c r="D411" s="134" t="s">
        <v>263</v>
      </c>
      <c r="E411" s="83" t="s">
        <v>264</v>
      </c>
      <c r="F411" s="83" t="s">
        <v>265</v>
      </c>
      <c r="G411" s="135" t="s">
        <v>271</v>
      </c>
      <c r="H411" s="83" t="s">
        <v>267</v>
      </c>
      <c r="I411" s="135" t="s">
        <v>950</v>
      </c>
      <c r="K411" s="137" t="s">
        <v>1310</v>
      </c>
      <c r="L411" s="135" t="s">
        <v>950</v>
      </c>
      <c r="M411" s="135" t="s">
        <v>950</v>
      </c>
      <c r="O411" s="34" t="s">
        <v>1491</v>
      </c>
      <c r="P411" s="34" t="s">
        <v>243</v>
      </c>
      <c r="Q411" s="83">
        <v>2025</v>
      </c>
    </row>
    <row r="412" spans="1:17" ht="15" x14ac:dyDescent="0.2">
      <c r="A412" s="83"/>
      <c r="B412" s="83" t="s">
        <v>264</v>
      </c>
      <c r="C412" s="133" t="s">
        <v>523</v>
      </c>
      <c r="D412" s="134" t="s">
        <v>263</v>
      </c>
      <c r="E412" s="83" t="s">
        <v>264</v>
      </c>
      <c r="F412" s="83" t="s">
        <v>265</v>
      </c>
      <c r="G412" s="135" t="s">
        <v>271</v>
      </c>
      <c r="H412" s="83" t="s">
        <v>267</v>
      </c>
      <c r="I412" s="135" t="s">
        <v>951</v>
      </c>
      <c r="K412" s="137" t="s">
        <v>1311</v>
      </c>
      <c r="L412" s="135" t="s">
        <v>951</v>
      </c>
      <c r="M412" s="135" t="s">
        <v>951</v>
      </c>
      <c r="O412" s="34" t="s">
        <v>1491</v>
      </c>
      <c r="P412" s="34" t="s">
        <v>243</v>
      </c>
      <c r="Q412" s="83">
        <v>2025</v>
      </c>
    </row>
    <row r="413" spans="1:17" ht="15" x14ac:dyDescent="0.2">
      <c r="A413" s="83"/>
      <c r="B413" s="83" t="s">
        <v>264</v>
      </c>
      <c r="C413" s="133" t="s">
        <v>524</v>
      </c>
      <c r="D413" s="134" t="s">
        <v>263</v>
      </c>
      <c r="E413" s="83" t="s">
        <v>264</v>
      </c>
      <c r="F413" s="83" t="s">
        <v>265</v>
      </c>
      <c r="G413" s="135" t="s">
        <v>271</v>
      </c>
      <c r="H413" s="83" t="s">
        <v>267</v>
      </c>
      <c r="I413" s="135" t="s">
        <v>952</v>
      </c>
      <c r="K413" s="137" t="s">
        <v>1312</v>
      </c>
      <c r="L413" s="135" t="s">
        <v>952</v>
      </c>
      <c r="M413" s="135" t="s">
        <v>952</v>
      </c>
      <c r="O413" s="34" t="s">
        <v>1491</v>
      </c>
      <c r="P413" s="34" t="s">
        <v>243</v>
      </c>
      <c r="Q413" s="83">
        <v>2025</v>
      </c>
    </row>
    <row r="414" spans="1:17" ht="15" x14ac:dyDescent="0.2">
      <c r="A414" s="83"/>
      <c r="B414" s="83" t="s">
        <v>264</v>
      </c>
      <c r="C414" s="133" t="s">
        <v>525</v>
      </c>
      <c r="D414" s="134" t="s">
        <v>263</v>
      </c>
      <c r="E414" s="83" t="s">
        <v>264</v>
      </c>
      <c r="F414" s="83" t="s">
        <v>265</v>
      </c>
      <c r="G414" s="135" t="s">
        <v>268</v>
      </c>
      <c r="H414" s="83" t="s">
        <v>267</v>
      </c>
      <c r="I414" s="135" t="s">
        <v>953</v>
      </c>
      <c r="K414" s="137" t="s">
        <v>1313</v>
      </c>
      <c r="L414" s="135" t="s">
        <v>953</v>
      </c>
      <c r="M414" s="135" t="s">
        <v>953</v>
      </c>
      <c r="O414" s="34" t="s">
        <v>1491</v>
      </c>
      <c r="P414" s="34" t="s">
        <v>243</v>
      </c>
      <c r="Q414" s="83">
        <v>2025</v>
      </c>
    </row>
    <row r="415" spans="1:17" ht="15" x14ac:dyDescent="0.2">
      <c r="A415" s="83"/>
      <c r="B415" s="83" t="s">
        <v>264</v>
      </c>
      <c r="C415" s="133" t="s">
        <v>526</v>
      </c>
      <c r="D415" s="134" t="s">
        <v>263</v>
      </c>
      <c r="E415" s="83" t="s">
        <v>264</v>
      </c>
      <c r="F415" s="83" t="s">
        <v>265</v>
      </c>
      <c r="G415" s="135" t="s">
        <v>266</v>
      </c>
      <c r="H415" s="83" t="s">
        <v>267</v>
      </c>
      <c r="I415" s="135" t="s">
        <v>954</v>
      </c>
      <c r="K415" s="137" t="s">
        <v>1314</v>
      </c>
      <c r="L415" s="135" t="s">
        <v>954</v>
      </c>
      <c r="M415" s="135" t="s">
        <v>954</v>
      </c>
      <c r="O415" s="34" t="s">
        <v>1490</v>
      </c>
      <c r="P415" s="34" t="s">
        <v>243</v>
      </c>
      <c r="Q415" s="83">
        <v>2025</v>
      </c>
    </row>
    <row r="416" spans="1:17" ht="15" x14ac:dyDescent="0.2">
      <c r="A416" s="83"/>
      <c r="B416" s="83" t="s">
        <v>264</v>
      </c>
      <c r="C416" s="133" t="s">
        <v>527</v>
      </c>
      <c r="D416" s="134" t="s">
        <v>263</v>
      </c>
      <c r="E416" s="83" t="s">
        <v>264</v>
      </c>
      <c r="F416" s="83" t="s">
        <v>265</v>
      </c>
      <c r="G416" s="135" t="s">
        <v>266</v>
      </c>
      <c r="H416" s="83" t="s">
        <v>267</v>
      </c>
      <c r="I416" s="135" t="s">
        <v>955</v>
      </c>
      <c r="K416" s="137" t="s">
        <v>1315</v>
      </c>
      <c r="L416" s="135" t="s">
        <v>955</v>
      </c>
      <c r="M416" s="135" t="s">
        <v>955</v>
      </c>
      <c r="O416" s="34" t="s">
        <v>1490</v>
      </c>
      <c r="P416" s="34" t="s">
        <v>243</v>
      </c>
      <c r="Q416" s="83">
        <v>2025</v>
      </c>
    </row>
    <row r="417" spans="1:17" ht="15" x14ac:dyDescent="0.2">
      <c r="A417" s="83"/>
      <c r="B417" s="83" t="s">
        <v>264</v>
      </c>
      <c r="C417" s="133" t="s">
        <v>528</v>
      </c>
      <c r="D417" s="134" t="s">
        <v>263</v>
      </c>
      <c r="E417" s="83" t="s">
        <v>264</v>
      </c>
      <c r="F417" s="83" t="s">
        <v>265</v>
      </c>
      <c r="G417" s="135" t="s">
        <v>266</v>
      </c>
      <c r="H417" s="83" t="s">
        <v>267</v>
      </c>
      <c r="I417" s="135" t="s">
        <v>956</v>
      </c>
      <c r="K417" s="137" t="s">
        <v>1316</v>
      </c>
      <c r="L417" s="135" t="s">
        <v>956</v>
      </c>
      <c r="M417" s="135" t="s">
        <v>956</v>
      </c>
      <c r="O417" s="34" t="s">
        <v>1490</v>
      </c>
      <c r="P417" s="34" t="s">
        <v>243</v>
      </c>
      <c r="Q417" s="83">
        <v>2025</v>
      </c>
    </row>
    <row r="418" spans="1:17" ht="15" x14ac:dyDescent="0.2">
      <c r="A418" s="83"/>
      <c r="B418" s="83" t="s">
        <v>264</v>
      </c>
      <c r="C418" s="133" t="s">
        <v>529</v>
      </c>
      <c r="D418" s="134" t="s">
        <v>263</v>
      </c>
      <c r="E418" s="83" t="s">
        <v>264</v>
      </c>
      <c r="F418" s="83" t="s">
        <v>265</v>
      </c>
      <c r="G418" s="135" t="s">
        <v>266</v>
      </c>
      <c r="H418" s="83" t="s">
        <v>267</v>
      </c>
      <c r="I418" s="135" t="s">
        <v>957</v>
      </c>
      <c r="K418" s="137" t="s">
        <v>1317</v>
      </c>
      <c r="L418" s="135" t="s">
        <v>957</v>
      </c>
      <c r="M418" s="135" t="s">
        <v>957</v>
      </c>
      <c r="O418" s="34" t="s">
        <v>1490</v>
      </c>
      <c r="P418" s="34" t="s">
        <v>243</v>
      </c>
      <c r="Q418" s="83">
        <v>2025</v>
      </c>
    </row>
    <row r="419" spans="1:17" ht="15" x14ac:dyDescent="0.2">
      <c r="A419" s="83"/>
      <c r="B419" s="83" t="s">
        <v>264</v>
      </c>
      <c r="C419" s="133" t="s">
        <v>530</v>
      </c>
      <c r="D419" s="134" t="s">
        <v>263</v>
      </c>
      <c r="E419" s="83" t="s">
        <v>264</v>
      </c>
      <c r="F419" s="83" t="s">
        <v>265</v>
      </c>
      <c r="G419" s="135" t="s">
        <v>266</v>
      </c>
      <c r="H419" s="83" t="s">
        <v>267</v>
      </c>
      <c r="I419" s="135" t="s">
        <v>958</v>
      </c>
      <c r="K419" s="137" t="s">
        <v>1318</v>
      </c>
      <c r="L419" s="135" t="s">
        <v>958</v>
      </c>
      <c r="M419" s="135" t="s">
        <v>958</v>
      </c>
      <c r="O419" s="34" t="s">
        <v>1490</v>
      </c>
      <c r="P419" s="34" t="s">
        <v>243</v>
      </c>
      <c r="Q419" s="83">
        <v>2025</v>
      </c>
    </row>
    <row r="420" spans="1:17" ht="15" x14ac:dyDescent="0.2">
      <c r="A420" s="83"/>
      <c r="B420" s="83" t="s">
        <v>264</v>
      </c>
      <c r="C420" s="133" t="s">
        <v>531</v>
      </c>
      <c r="D420" s="134" t="s">
        <v>263</v>
      </c>
      <c r="E420" s="83" t="s">
        <v>264</v>
      </c>
      <c r="F420" s="83" t="s">
        <v>265</v>
      </c>
      <c r="G420" s="135" t="s">
        <v>266</v>
      </c>
      <c r="H420" s="83" t="s">
        <v>267</v>
      </c>
      <c r="I420" s="135" t="s">
        <v>959</v>
      </c>
      <c r="K420" s="137" t="s">
        <v>1319</v>
      </c>
      <c r="L420" s="135" t="s">
        <v>959</v>
      </c>
      <c r="M420" s="135" t="s">
        <v>959</v>
      </c>
      <c r="O420" s="34" t="s">
        <v>1490</v>
      </c>
      <c r="P420" s="34" t="s">
        <v>243</v>
      </c>
      <c r="Q420" s="83">
        <v>2025</v>
      </c>
    </row>
    <row r="421" spans="1:17" ht="15" x14ac:dyDescent="0.2">
      <c r="A421" s="83"/>
      <c r="B421" s="83" t="s">
        <v>264</v>
      </c>
      <c r="C421" s="133" t="s">
        <v>532</v>
      </c>
      <c r="D421" s="134" t="s">
        <v>263</v>
      </c>
      <c r="E421" s="83" t="s">
        <v>264</v>
      </c>
      <c r="F421" s="83" t="s">
        <v>265</v>
      </c>
      <c r="G421" s="135" t="s">
        <v>266</v>
      </c>
      <c r="H421" s="83" t="s">
        <v>267</v>
      </c>
      <c r="I421" s="135" t="s">
        <v>960</v>
      </c>
      <c r="K421" s="137" t="s">
        <v>1320</v>
      </c>
      <c r="L421" s="135" t="s">
        <v>960</v>
      </c>
      <c r="M421" s="135" t="s">
        <v>960</v>
      </c>
      <c r="O421" s="34" t="s">
        <v>1490</v>
      </c>
      <c r="P421" s="34" t="s">
        <v>243</v>
      </c>
      <c r="Q421" s="83">
        <v>2025</v>
      </c>
    </row>
    <row r="422" spans="1:17" ht="15" x14ac:dyDescent="0.2">
      <c r="A422" s="83"/>
      <c r="B422" s="83" t="s">
        <v>264</v>
      </c>
      <c r="C422" s="133" t="s">
        <v>533</v>
      </c>
      <c r="D422" s="134" t="s">
        <v>263</v>
      </c>
      <c r="E422" s="83" t="s">
        <v>264</v>
      </c>
      <c r="F422" s="83" t="s">
        <v>265</v>
      </c>
      <c r="G422" s="135" t="s">
        <v>266</v>
      </c>
      <c r="H422" s="83" t="s">
        <v>267</v>
      </c>
      <c r="I422" s="135" t="s">
        <v>961</v>
      </c>
      <c r="K422" s="137" t="s">
        <v>1321</v>
      </c>
      <c r="L422" s="135" t="s">
        <v>961</v>
      </c>
      <c r="M422" s="135" t="s">
        <v>961</v>
      </c>
      <c r="O422" s="34" t="s">
        <v>1490</v>
      </c>
      <c r="P422" s="34" t="s">
        <v>243</v>
      </c>
      <c r="Q422" s="83">
        <v>2025</v>
      </c>
    </row>
    <row r="423" spans="1:17" ht="15" x14ac:dyDescent="0.2">
      <c r="A423" s="83"/>
      <c r="B423" s="83" t="s">
        <v>264</v>
      </c>
      <c r="C423" s="133" t="s">
        <v>534</v>
      </c>
      <c r="D423" s="134" t="s">
        <v>263</v>
      </c>
      <c r="E423" s="83" t="s">
        <v>264</v>
      </c>
      <c r="F423" s="83" t="s">
        <v>265</v>
      </c>
      <c r="G423" s="135" t="s">
        <v>266</v>
      </c>
      <c r="H423" s="83" t="s">
        <v>267</v>
      </c>
      <c r="I423" s="135" t="s">
        <v>962</v>
      </c>
      <c r="K423" s="137" t="s">
        <v>1322</v>
      </c>
      <c r="L423" s="135" t="s">
        <v>962</v>
      </c>
      <c r="M423" s="135" t="s">
        <v>962</v>
      </c>
      <c r="O423" s="34" t="s">
        <v>1490</v>
      </c>
      <c r="P423" s="34" t="s">
        <v>243</v>
      </c>
      <c r="Q423" s="83">
        <v>2025</v>
      </c>
    </row>
    <row r="424" spans="1:17" ht="15" x14ac:dyDescent="0.2">
      <c r="A424" s="83"/>
      <c r="B424" s="83" t="s">
        <v>264</v>
      </c>
      <c r="C424" s="133" t="s">
        <v>535</v>
      </c>
      <c r="D424" s="134" t="s">
        <v>263</v>
      </c>
      <c r="E424" s="83" t="s">
        <v>264</v>
      </c>
      <c r="F424" s="83" t="s">
        <v>265</v>
      </c>
      <c r="G424" s="135" t="s">
        <v>266</v>
      </c>
      <c r="H424" s="83" t="s">
        <v>267</v>
      </c>
      <c r="I424" s="135" t="s">
        <v>963</v>
      </c>
      <c r="K424" s="137" t="s">
        <v>1323</v>
      </c>
      <c r="L424" s="135" t="s">
        <v>963</v>
      </c>
      <c r="M424" s="135" t="s">
        <v>963</v>
      </c>
      <c r="O424" s="34" t="s">
        <v>1490</v>
      </c>
      <c r="P424" s="34" t="s">
        <v>243</v>
      </c>
      <c r="Q424" s="83">
        <v>2025</v>
      </c>
    </row>
    <row r="425" spans="1:17" ht="15" x14ac:dyDescent="0.2">
      <c r="A425" s="83"/>
      <c r="B425" s="83" t="s">
        <v>264</v>
      </c>
      <c r="C425" s="133" t="s">
        <v>536</v>
      </c>
      <c r="D425" s="134" t="s">
        <v>263</v>
      </c>
      <c r="E425" s="83" t="s">
        <v>264</v>
      </c>
      <c r="F425" s="83" t="s">
        <v>265</v>
      </c>
      <c r="G425" s="135" t="s">
        <v>266</v>
      </c>
      <c r="H425" s="83" t="s">
        <v>267</v>
      </c>
      <c r="I425" s="135" t="s">
        <v>964</v>
      </c>
      <c r="K425" s="137" t="s">
        <v>1324</v>
      </c>
      <c r="L425" s="135" t="s">
        <v>964</v>
      </c>
      <c r="M425" s="135" t="s">
        <v>964</v>
      </c>
      <c r="O425" s="34" t="s">
        <v>1490</v>
      </c>
      <c r="P425" s="34" t="s">
        <v>243</v>
      </c>
      <c r="Q425" s="83">
        <v>2025</v>
      </c>
    </row>
    <row r="426" spans="1:17" ht="15" x14ac:dyDescent="0.2">
      <c r="A426" s="83"/>
      <c r="B426" s="83" t="s">
        <v>264</v>
      </c>
      <c r="C426" s="133" t="s">
        <v>537</v>
      </c>
      <c r="D426" s="134" t="s">
        <v>263</v>
      </c>
      <c r="E426" s="83" t="s">
        <v>264</v>
      </c>
      <c r="F426" s="83" t="s">
        <v>265</v>
      </c>
      <c r="G426" s="135" t="s">
        <v>266</v>
      </c>
      <c r="H426" s="83" t="s">
        <v>267</v>
      </c>
      <c r="I426" s="135" t="s">
        <v>965</v>
      </c>
      <c r="K426" s="137" t="s">
        <v>1325</v>
      </c>
      <c r="L426" s="135" t="s">
        <v>965</v>
      </c>
      <c r="M426" s="135" t="s">
        <v>965</v>
      </c>
      <c r="O426" s="34" t="s">
        <v>1490</v>
      </c>
      <c r="P426" s="34" t="s">
        <v>243</v>
      </c>
      <c r="Q426" s="83">
        <v>2025</v>
      </c>
    </row>
    <row r="427" spans="1:17" ht="15" x14ac:dyDescent="0.2">
      <c r="A427" s="83"/>
      <c r="B427" s="83" t="s">
        <v>264</v>
      </c>
      <c r="C427" s="133" t="s">
        <v>538</v>
      </c>
      <c r="D427" s="134" t="s">
        <v>263</v>
      </c>
      <c r="E427" s="83" t="s">
        <v>264</v>
      </c>
      <c r="F427" s="83" t="s">
        <v>265</v>
      </c>
      <c r="G427" s="135" t="s">
        <v>269</v>
      </c>
      <c r="H427" s="83" t="s">
        <v>267</v>
      </c>
      <c r="I427" s="135" t="s">
        <v>966</v>
      </c>
      <c r="K427" s="137" t="s">
        <v>1326</v>
      </c>
      <c r="L427" s="135" t="s">
        <v>966</v>
      </c>
      <c r="M427" s="135" t="s">
        <v>966</v>
      </c>
      <c r="O427" s="34" t="s">
        <v>1490</v>
      </c>
      <c r="P427" s="34" t="s">
        <v>243</v>
      </c>
      <c r="Q427" s="83">
        <v>2025</v>
      </c>
    </row>
    <row r="428" spans="1:17" ht="15" x14ac:dyDescent="0.2">
      <c r="A428" s="83"/>
      <c r="B428" s="83" t="s">
        <v>264</v>
      </c>
      <c r="C428" s="133" t="s">
        <v>539</v>
      </c>
      <c r="D428" s="134" t="s">
        <v>263</v>
      </c>
      <c r="E428" s="83" t="s">
        <v>264</v>
      </c>
      <c r="F428" s="83" t="s">
        <v>265</v>
      </c>
      <c r="G428" s="135" t="s">
        <v>266</v>
      </c>
      <c r="H428" s="83" t="s">
        <v>267</v>
      </c>
      <c r="I428" s="135" t="s">
        <v>967</v>
      </c>
      <c r="K428" s="137" t="s">
        <v>1327</v>
      </c>
      <c r="L428" s="135" t="s">
        <v>967</v>
      </c>
      <c r="M428" s="135" t="s">
        <v>967</v>
      </c>
      <c r="O428" s="34" t="s">
        <v>1490</v>
      </c>
      <c r="P428" s="34" t="s">
        <v>243</v>
      </c>
      <c r="Q428" s="83">
        <v>2025</v>
      </c>
    </row>
    <row r="429" spans="1:17" ht="15" x14ac:dyDescent="0.2">
      <c r="A429" s="83"/>
      <c r="B429" s="83" t="s">
        <v>264</v>
      </c>
      <c r="C429" s="133" t="s">
        <v>540</v>
      </c>
      <c r="D429" s="134" t="s">
        <v>263</v>
      </c>
      <c r="E429" s="83" t="s">
        <v>264</v>
      </c>
      <c r="F429" s="83" t="s">
        <v>265</v>
      </c>
      <c r="G429" s="135" t="s">
        <v>266</v>
      </c>
      <c r="H429" s="83" t="s">
        <v>267</v>
      </c>
      <c r="I429" s="135" t="s">
        <v>968</v>
      </c>
      <c r="K429" s="137" t="s">
        <v>1328</v>
      </c>
      <c r="L429" s="135" t="s">
        <v>968</v>
      </c>
      <c r="M429" s="135" t="s">
        <v>968</v>
      </c>
      <c r="O429" s="34" t="s">
        <v>1490</v>
      </c>
      <c r="P429" s="34" t="s">
        <v>243</v>
      </c>
      <c r="Q429" s="83">
        <v>2025</v>
      </c>
    </row>
    <row r="430" spans="1:17" ht="15" x14ac:dyDescent="0.2">
      <c r="A430" s="83"/>
      <c r="B430" s="83" t="s">
        <v>264</v>
      </c>
      <c r="C430" s="133" t="s">
        <v>541</v>
      </c>
      <c r="D430" s="134" t="s">
        <v>263</v>
      </c>
      <c r="E430" s="83" t="s">
        <v>264</v>
      </c>
      <c r="F430" s="83" t="s">
        <v>265</v>
      </c>
      <c r="G430" s="135" t="s">
        <v>266</v>
      </c>
      <c r="H430" s="83" t="s">
        <v>267</v>
      </c>
      <c r="I430" s="135" t="s">
        <v>969</v>
      </c>
      <c r="K430" s="137" t="s">
        <v>1329</v>
      </c>
      <c r="L430" s="135" t="s">
        <v>969</v>
      </c>
      <c r="M430" s="135" t="s">
        <v>969</v>
      </c>
      <c r="O430" s="34" t="s">
        <v>1490</v>
      </c>
      <c r="P430" s="34" t="s">
        <v>243</v>
      </c>
      <c r="Q430" s="83">
        <v>2025</v>
      </c>
    </row>
    <row r="431" spans="1:17" ht="15" x14ac:dyDescent="0.2">
      <c r="A431" s="83"/>
      <c r="B431" s="83" t="s">
        <v>264</v>
      </c>
      <c r="C431" s="133" t="s">
        <v>542</v>
      </c>
      <c r="D431" s="134" t="s">
        <v>263</v>
      </c>
      <c r="E431" s="83" t="s">
        <v>264</v>
      </c>
      <c r="F431" s="83" t="s">
        <v>265</v>
      </c>
      <c r="G431" s="135" t="s">
        <v>266</v>
      </c>
      <c r="H431" s="83" t="s">
        <v>267</v>
      </c>
      <c r="I431" s="135" t="s">
        <v>970</v>
      </c>
      <c r="K431" s="137" t="s">
        <v>1330</v>
      </c>
      <c r="L431" s="135" t="s">
        <v>970</v>
      </c>
      <c r="M431" s="135" t="s">
        <v>970</v>
      </c>
      <c r="O431" s="34" t="s">
        <v>1490</v>
      </c>
      <c r="P431" s="34" t="s">
        <v>243</v>
      </c>
      <c r="Q431" s="83">
        <v>2025</v>
      </c>
    </row>
    <row r="432" spans="1:17" ht="15" x14ac:dyDescent="0.2">
      <c r="A432" s="83"/>
      <c r="B432" s="83" t="s">
        <v>264</v>
      </c>
      <c r="C432" s="133" t="s">
        <v>543</v>
      </c>
      <c r="D432" s="134" t="s">
        <v>263</v>
      </c>
      <c r="E432" s="83" t="s">
        <v>264</v>
      </c>
      <c r="F432" s="83" t="s">
        <v>265</v>
      </c>
      <c r="G432" s="135" t="s">
        <v>268</v>
      </c>
      <c r="H432" s="83" t="s">
        <v>267</v>
      </c>
      <c r="I432" s="135" t="s">
        <v>971</v>
      </c>
      <c r="K432" s="137" t="s">
        <v>1331</v>
      </c>
      <c r="L432" s="135" t="s">
        <v>971</v>
      </c>
      <c r="M432" s="135" t="s">
        <v>971</v>
      </c>
      <c r="O432" s="34" t="s">
        <v>1491</v>
      </c>
      <c r="P432" s="34" t="s">
        <v>243</v>
      </c>
      <c r="Q432" s="83">
        <v>2025</v>
      </c>
    </row>
    <row r="433" spans="1:17" ht="15" x14ac:dyDescent="0.2">
      <c r="A433" s="83"/>
      <c r="B433" s="83" t="s">
        <v>264</v>
      </c>
      <c r="C433" s="133" t="s">
        <v>544</v>
      </c>
      <c r="D433" s="134" t="s">
        <v>263</v>
      </c>
      <c r="E433" s="83" t="s">
        <v>264</v>
      </c>
      <c r="F433" s="83" t="s">
        <v>265</v>
      </c>
      <c r="G433" s="135" t="s">
        <v>266</v>
      </c>
      <c r="H433" s="83" t="s">
        <v>267</v>
      </c>
      <c r="I433" s="135" t="s">
        <v>972</v>
      </c>
      <c r="K433" s="137" t="s">
        <v>1332</v>
      </c>
      <c r="L433" s="135" t="s">
        <v>972</v>
      </c>
      <c r="M433" s="135" t="s">
        <v>972</v>
      </c>
      <c r="O433" s="34" t="s">
        <v>1490</v>
      </c>
      <c r="P433" s="34" t="s">
        <v>243</v>
      </c>
      <c r="Q433" s="83">
        <v>2025</v>
      </c>
    </row>
    <row r="434" spans="1:17" ht="15" x14ac:dyDescent="0.2">
      <c r="A434" s="83"/>
      <c r="B434" s="83" t="s">
        <v>264</v>
      </c>
      <c r="C434" s="133" t="s">
        <v>545</v>
      </c>
      <c r="D434" s="134" t="s">
        <v>263</v>
      </c>
      <c r="E434" s="83" t="s">
        <v>264</v>
      </c>
      <c r="F434" s="83" t="s">
        <v>265</v>
      </c>
      <c r="G434" s="135" t="s">
        <v>268</v>
      </c>
      <c r="H434" s="83" t="s">
        <v>267</v>
      </c>
      <c r="I434" s="135" t="s">
        <v>973</v>
      </c>
      <c r="K434" s="137" t="s">
        <v>1333</v>
      </c>
      <c r="L434" s="135" t="s">
        <v>973</v>
      </c>
      <c r="M434" s="135" t="s">
        <v>973</v>
      </c>
      <c r="O434" s="34" t="s">
        <v>1491</v>
      </c>
      <c r="P434" s="34" t="s">
        <v>243</v>
      </c>
      <c r="Q434" s="83">
        <v>2025</v>
      </c>
    </row>
    <row r="435" spans="1:17" ht="15" x14ac:dyDescent="0.2">
      <c r="A435" s="83"/>
      <c r="B435" s="83" t="s">
        <v>264</v>
      </c>
      <c r="C435" s="133" t="s">
        <v>546</v>
      </c>
      <c r="D435" s="134" t="s">
        <v>263</v>
      </c>
      <c r="E435" s="83" t="s">
        <v>264</v>
      </c>
      <c r="F435" s="83" t="s">
        <v>265</v>
      </c>
      <c r="G435" s="135" t="s">
        <v>268</v>
      </c>
      <c r="H435" s="83" t="s">
        <v>267</v>
      </c>
      <c r="I435" s="135" t="s">
        <v>974</v>
      </c>
      <c r="K435" s="137" t="s">
        <v>1334</v>
      </c>
      <c r="L435" s="135" t="s">
        <v>974</v>
      </c>
      <c r="M435" s="135" t="s">
        <v>974</v>
      </c>
      <c r="O435" s="34" t="s">
        <v>1491</v>
      </c>
      <c r="P435" s="34" t="s">
        <v>243</v>
      </c>
      <c r="Q435" s="83">
        <v>2025</v>
      </c>
    </row>
    <row r="436" spans="1:17" ht="15" x14ac:dyDescent="0.2">
      <c r="A436" s="83"/>
      <c r="B436" s="83" t="s">
        <v>264</v>
      </c>
      <c r="C436" s="133" t="s">
        <v>547</v>
      </c>
      <c r="D436" s="134" t="s">
        <v>263</v>
      </c>
      <c r="E436" s="83" t="s">
        <v>264</v>
      </c>
      <c r="F436" s="83" t="s">
        <v>265</v>
      </c>
      <c r="G436" s="135" t="s">
        <v>268</v>
      </c>
      <c r="H436" s="83" t="s">
        <v>267</v>
      </c>
      <c r="I436" s="135" t="s">
        <v>975</v>
      </c>
      <c r="K436" s="137" t="s">
        <v>1335</v>
      </c>
      <c r="L436" s="135" t="s">
        <v>975</v>
      </c>
      <c r="M436" s="135" t="s">
        <v>975</v>
      </c>
      <c r="O436" s="34" t="s">
        <v>1491</v>
      </c>
      <c r="P436" s="34" t="s">
        <v>243</v>
      </c>
      <c r="Q436" s="83">
        <v>2025</v>
      </c>
    </row>
    <row r="437" spans="1:17" ht="15" x14ac:dyDescent="0.2">
      <c r="A437" s="83"/>
      <c r="B437" s="83" t="s">
        <v>264</v>
      </c>
      <c r="C437" s="133" t="s">
        <v>548</v>
      </c>
      <c r="D437" s="134" t="s">
        <v>263</v>
      </c>
      <c r="E437" s="83" t="s">
        <v>264</v>
      </c>
      <c r="F437" s="83" t="s">
        <v>265</v>
      </c>
      <c r="G437" s="135" t="s">
        <v>271</v>
      </c>
      <c r="H437" s="83" t="s">
        <v>267</v>
      </c>
      <c r="I437" s="135" t="s">
        <v>976</v>
      </c>
      <c r="K437" s="137" t="s">
        <v>1336</v>
      </c>
      <c r="L437" s="135" t="s">
        <v>976</v>
      </c>
      <c r="M437" s="135" t="s">
        <v>976</v>
      </c>
      <c r="O437" s="34" t="s">
        <v>1491</v>
      </c>
      <c r="P437" s="34" t="s">
        <v>243</v>
      </c>
      <c r="Q437" s="83">
        <v>2025</v>
      </c>
    </row>
    <row r="438" spans="1:17" ht="15" x14ac:dyDescent="0.2">
      <c r="A438" s="83"/>
      <c r="B438" s="83" t="s">
        <v>264</v>
      </c>
      <c r="C438" s="133" t="s">
        <v>549</v>
      </c>
      <c r="D438" s="134" t="s">
        <v>263</v>
      </c>
      <c r="E438" s="83" t="s">
        <v>264</v>
      </c>
      <c r="F438" s="83" t="s">
        <v>265</v>
      </c>
      <c r="G438" s="135" t="s">
        <v>266</v>
      </c>
      <c r="H438" s="83" t="s">
        <v>267</v>
      </c>
      <c r="I438" s="135" t="s">
        <v>977</v>
      </c>
      <c r="K438" s="137" t="s">
        <v>1337</v>
      </c>
      <c r="L438" s="135" t="s">
        <v>977</v>
      </c>
      <c r="M438" s="135" t="s">
        <v>977</v>
      </c>
      <c r="O438" s="34" t="s">
        <v>1490</v>
      </c>
      <c r="P438" s="34" t="s">
        <v>243</v>
      </c>
      <c r="Q438" s="83">
        <v>2025</v>
      </c>
    </row>
    <row r="439" spans="1:17" ht="15" x14ac:dyDescent="0.2">
      <c r="A439" s="83"/>
      <c r="B439" s="83" t="s">
        <v>264</v>
      </c>
      <c r="C439" s="133" t="s">
        <v>550</v>
      </c>
      <c r="D439" s="134" t="s">
        <v>263</v>
      </c>
      <c r="E439" s="83" t="s">
        <v>264</v>
      </c>
      <c r="F439" s="83" t="s">
        <v>265</v>
      </c>
      <c r="G439" s="135" t="s">
        <v>266</v>
      </c>
      <c r="H439" s="83" t="s">
        <v>267</v>
      </c>
      <c r="I439" s="135" t="s">
        <v>978</v>
      </c>
      <c r="K439" s="137" t="s">
        <v>1338</v>
      </c>
      <c r="L439" s="135" t="s">
        <v>978</v>
      </c>
      <c r="M439" s="135" t="s">
        <v>978</v>
      </c>
      <c r="O439" s="34" t="s">
        <v>1490</v>
      </c>
      <c r="P439" s="34" t="s">
        <v>243</v>
      </c>
      <c r="Q439" s="83">
        <v>2025</v>
      </c>
    </row>
    <row r="440" spans="1:17" ht="15" x14ac:dyDescent="0.2">
      <c r="A440" s="83"/>
      <c r="B440" s="83" t="s">
        <v>264</v>
      </c>
      <c r="C440" s="133" t="s">
        <v>551</v>
      </c>
      <c r="D440" s="134" t="s">
        <v>263</v>
      </c>
      <c r="E440" s="83" t="s">
        <v>264</v>
      </c>
      <c r="F440" s="83" t="s">
        <v>265</v>
      </c>
      <c r="G440" s="135" t="s">
        <v>266</v>
      </c>
      <c r="H440" s="83" t="s">
        <v>267</v>
      </c>
      <c r="I440" s="135" t="s">
        <v>979</v>
      </c>
      <c r="K440" s="137" t="s">
        <v>1339</v>
      </c>
      <c r="L440" s="135" t="s">
        <v>979</v>
      </c>
      <c r="M440" s="135" t="s">
        <v>979</v>
      </c>
      <c r="O440" s="34" t="s">
        <v>1490</v>
      </c>
      <c r="P440" s="34" t="s">
        <v>243</v>
      </c>
      <c r="Q440" s="83">
        <v>2025</v>
      </c>
    </row>
    <row r="441" spans="1:17" ht="15" x14ac:dyDescent="0.2">
      <c r="A441" s="83"/>
      <c r="B441" s="83" t="s">
        <v>264</v>
      </c>
      <c r="C441" s="133" t="s">
        <v>552</v>
      </c>
      <c r="D441" s="134" t="s">
        <v>263</v>
      </c>
      <c r="E441" s="83" t="s">
        <v>264</v>
      </c>
      <c r="F441" s="83" t="s">
        <v>265</v>
      </c>
      <c r="G441" s="135" t="s">
        <v>269</v>
      </c>
      <c r="H441" s="83" t="s">
        <v>267</v>
      </c>
      <c r="I441" s="135" t="s">
        <v>980</v>
      </c>
      <c r="K441" s="137" t="s">
        <v>1340</v>
      </c>
      <c r="L441" s="135" t="s">
        <v>980</v>
      </c>
      <c r="M441" s="135" t="s">
        <v>980</v>
      </c>
      <c r="O441" s="34" t="s">
        <v>1490</v>
      </c>
      <c r="P441" s="34" t="s">
        <v>243</v>
      </c>
      <c r="Q441" s="83">
        <v>2025</v>
      </c>
    </row>
    <row r="442" spans="1:17" ht="15" x14ac:dyDescent="0.2">
      <c r="A442" s="83"/>
      <c r="B442" s="83" t="s">
        <v>264</v>
      </c>
      <c r="C442" s="133" t="s">
        <v>553</v>
      </c>
      <c r="D442" s="134" t="s">
        <v>263</v>
      </c>
      <c r="E442" s="83" t="s">
        <v>264</v>
      </c>
      <c r="F442" s="83" t="s">
        <v>265</v>
      </c>
      <c r="G442" s="135" t="s">
        <v>266</v>
      </c>
      <c r="H442" s="83" t="s">
        <v>267</v>
      </c>
      <c r="I442" s="135" t="s">
        <v>981</v>
      </c>
      <c r="K442" s="137" t="s">
        <v>1341</v>
      </c>
      <c r="L442" s="135" t="s">
        <v>981</v>
      </c>
      <c r="M442" s="135" t="s">
        <v>981</v>
      </c>
      <c r="O442" s="34" t="s">
        <v>1490</v>
      </c>
      <c r="P442" s="34" t="s">
        <v>243</v>
      </c>
      <c r="Q442" s="83">
        <v>2025</v>
      </c>
    </row>
    <row r="443" spans="1:17" ht="15" x14ac:dyDescent="0.2">
      <c r="A443" s="83"/>
      <c r="B443" s="83" t="s">
        <v>264</v>
      </c>
      <c r="C443" s="133" t="s">
        <v>554</v>
      </c>
      <c r="D443" s="134" t="s">
        <v>263</v>
      </c>
      <c r="E443" s="83" t="s">
        <v>264</v>
      </c>
      <c r="F443" s="83" t="s">
        <v>265</v>
      </c>
      <c r="G443" s="135" t="s">
        <v>266</v>
      </c>
      <c r="H443" s="83" t="s">
        <v>267</v>
      </c>
      <c r="I443" s="135" t="s">
        <v>982</v>
      </c>
      <c r="K443" s="137" t="s">
        <v>1342</v>
      </c>
      <c r="L443" s="135" t="s">
        <v>982</v>
      </c>
      <c r="M443" s="135" t="s">
        <v>982</v>
      </c>
      <c r="O443" s="34" t="s">
        <v>1490</v>
      </c>
      <c r="P443" s="34" t="s">
        <v>243</v>
      </c>
      <c r="Q443" s="83">
        <v>2025</v>
      </c>
    </row>
    <row r="444" spans="1:17" ht="15" x14ac:dyDescent="0.2">
      <c r="A444" s="83"/>
      <c r="B444" s="83" t="s">
        <v>264</v>
      </c>
      <c r="C444" s="133" t="s">
        <v>555</v>
      </c>
      <c r="D444" s="134" t="s">
        <v>263</v>
      </c>
      <c r="E444" s="83" t="s">
        <v>264</v>
      </c>
      <c r="F444" s="83" t="s">
        <v>265</v>
      </c>
      <c r="G444" s="135" t="s">
        <v>266</v>
      </c>
      <c r="H444" s="83" t="s">
        <v>267</v>
      </c>
      <c r="I444" s="135" t="s">
        <v>983</v>
      </c>
      <c r="K444" s="137" t="s">
        <v>1343</v>
      </c>
      <c r="L444" s="135" t="s">
        <v>983</v>
      </c>
      <c r="M444" s="135" t="s">
        <v>983</v>
      </c>
      <c r="O444" s="34" t="s">
        <v>1490</v>
      </c>
      <c r="P444" s="34" t="s">
        <v>243</v>
      </c>
      <c r="Q444" s="83">
        <v>2025</v>
      </c>
    </row>
    <row r="445" spans="1:17" ht="15" x14ac:dyDescent="0.2">
      <c r="A445" s="83"/>
      <c r="B445" s="83" t="s">
        <v>264</v>
      </c>
      <c r="C445" s="133" t="s">
        <v>556</v>
      </c>
      <c r="D445" s="134" t="s">
        <v>263</v>
      </c>
      <c r="E445" s="83" t="s">
        <v>264</v>
      </c>
      <c r="F445" s="83" t="s">
        <v>265</v>
      </c>
      <c r="G445" s="135" t="s">
        <v>266</v>
      </c>
      <c r="H445" s="83" t="s">
        <v>267</v>
      </c>
      <c r="I445" s="135" t="s">
        <v>984</v>
      </c>
      <c r="K445" s="137" t="s">
        <v>1344</v>
      </c>
      <c r="L445" s="135" t="s">
        <v>984</v>
      </c>
      <c r="M445" s="135" t="s">
        <v>984</v>
      </c>
      <c r="O445" s="34" t="s">
        <v>1490</v>
      </c>
      <c r="P445" s="34" t="s">
        <v>243</v>
      </c>
      <c r="Q445" s="83">
        <v>2025</v>
      </c>
    </row>
    <row r="446" spans="1:17" ht="15" x14ac:dyDescent="0.2">
      <c r="A446" s="83"/>
      <c r="B446" s="83" t="s">
        <v>264</v>
      </c>
      <c r="C446" s="133" t="s">
        <v>557</v>
      </c>
      <c r="D446" s="134" t="s">
        <v>263</v>
      </c>
      <c r="E446" s="83" t="s">
        <v>264</v>
      </c>
      <c r="F446" s="83" t="s">
        <v>265</v>
      </c>
      <c r="G446" s="135" t="s">
        <v>266</v>
      </c>
      <c r="H446" s="83" t="s">
        <v>267</v>
      </c>
      <c r="I446" s="135" t="s">
        <v>985</v>
      </c>
      <c r="K446" s="137" t="s">
        <v>1345</v>
      </c>
      <c r="L446" s="135" t="s">
        <v>985</v>
      </c>
      <c r="M446" s="135" t="s">
        <v>985</v>
      </c>
      <c r="O446" s="34" t="s">
        <v>1490</v>
      </c>
      <c r="P446" s="34" t="s">
        <v>243</v>
      </c>
      <c r="Q446" s="83">
        <v>2025</v>
      </c>
    </row>
    <row r="447" spans="1:17" ht="15" x14ac:dyDescent="0.2">
      <c r="A447" s="83"/>
      <c r="B447" s="83" t="s">
        <v>264</v>
      </c>
      <c r="C447" s="133" t="s">
        <v>558</v>
      </c>
      <c r="D447" s="134" t="s">
        <v>263</v>
      </c>
      <c r="E447" s="83" t="s">
        <v>264</v>
      </c>
      <c r="F447" s="83" t="s">
        <v>265</v>
      </c>
      <c r="G447" s="135" t="s">
        <v>266</v>
      </c>
      <c r="H447" s="83" t="s">
        <v>267</v>
      </c>
      <c r="I447" s="135" t="s">
        <v>986</v>
      </c>
      <c r="K447" s="137" t="s">
        <v>1346</v>
      </c>
      <c r="L447" s="135" t="s">
        <v>986</v>
      </c>
      <c r="M447" s="135" t="s">
        <v>986</v>
      </c>
      <c r="O447" s="34" t="s">
        <v>1490</v>
      </c>
      <c r="P447" s="34" t="s">
        <v>243</v>
      </c>
      <c r="Q447" s="83">
        <v>2025</v>
      </c>
    </row>
    <row r="448" spans="1:17" ht="15" x14ac:dyDescent="0.2">
      <c r="A448" s="83"/>
      <c r="B448" s="83" t="s">
        <v>264</v>
      </c>
      <c r="C448" s="133" t="s">
        <v>559</v>
      </c>
      <c r="D448" s="134" t="s">
        <v>263</v>
      </c>
      <c r="E448" s="83" t="s">
        <v>264</v>
      </c>
      <c r="F448" s="83" t="s">
        <v>265</v>
      </c>
      <c r="G448" s="135" t="s">
        <v>269</v>
      </c>
      <c r="H448" s="83" t="s">
        <v>267</v>
      </c>
      <c r="I448" s="135" t="s">
        <v>987</v>
      </c>
      <c r="K448" s="137" t="s">
        <v>1347</v>
      </c>
      <c r="L448" s="135" t="s">
        <v>987</v>
      </c>
      <c r="M448" s="135" t="s">
        <v>987</v>
      </c>
      <c r="O448" s="34" t="s">
        <v>1490</v>
      </c>
      <c r="P448" s="34" t="s">
        <v>243</v>
      </c>
      <c r="Q448" s="83">
        <v>2025</v>
      </c>
    </row>
    <row r="449" spans="1:17" ht="15" x14ac:dyDescent="0.2">
      <c r="A449" s="83"/>
      <c r="B449" s="83" t="s">
        <v>264</v>
      </c>
      <c r="C449" s="133" t="s">
        <v>560</v>
      </c>
      <c r="D449" s="134" t="s">
        <v>263</v>
      </c>
      <c r="E449" s="83" t="s">
        <v>264</v>
      </c>
      <c r="F449" s="83" t="s">
        <v>265</v>
      </c>
      <c r="G449" s="135" t="s">
        <v>266</v>
      </c>
      <c r="H449" s="83" t="s">
        <v>267</v>
      </c>
      <c r="I449" s="135" t="s">
        <v>988</v>
      </c>
      <c r="K449" s="137" t="s">
        <v>1348</v>
      </c>
      <c r="L449" s="135" t="s">
        <v>988</v>
      </c>
      <c r="M449" s="135" t="s">
        <v>988</v>
      </c>
      <c r="O449" s="34" t="s">
        <v>1490</v>
      </c>
      <c r="P449" s="34" t="s">
        <v>243</v>
      </c>
      <c r="Q449" s="83">
        <v>2025</v>
      </c>
    </row>
    <row r="450" spans="1:17" ht="15" x14ac:dyDescent="0.2">
      <c r="A450" s="83"/>
      <c r="B450" s="83" t="s">
        <v>264</v>
      </c>
      <c r="C450" s="133" t="s">
        <v>561</v>
      </c>
      <c r="D450" s="134" t="s">
        <v>263</v>
      </c>
      <c r="E450" s="83" t="s">
        <v>264</v>
      </c>
      <c r="F450" s="83" t="s">
        <v>265</v>
      </c>
      <c r="G450" s="135" t="s">
        <v>266</v>
      </c>
      <c r="H450" s="83" t="s">
        <v>267</v>
      </c>
      <c r="I450" s="135" t="s">
        <v>989</v>
      </c>
      <c r="K450" s="137" t="s">
        <v>1349</v>
      </c>
      <c r="L450" s="135" t="s">
        <v>989</v>
      </c>
      <c r="M450" s="135" t="s">
        <v>989</v>
      </c>
      <c r="O450" s="34" t="s">
        <v>1490</v>
      </c>
      <c r="P450" s="34" t="s">
        <v>243</v>
      </c>
      <c r="Q450" s="83">
        <v>2025</v>
      </c>
    </row>
    <row r="451" spans="1:17" ht="15" x14ac:dyDescent="0.2">
      <c r="A451" s="83"/>
      <c r="B451" s="83" t="s">
        <v>264</v>
      </c>
      <c r="C451" s="133" t="s">
        <v>562</v>
      </c>
      <c r="D451" s="134" t="s">
        <v>263</v>
      </c>
      <c r="E451" s="83" t="s">
        <v>264</v>
      </c>
      <c r="F451" s="83" t="s">
        <v>265</v>
      </c>
      <c r="G451" s="135" t="s">
        <v>266</v>
      </c>
      <c r="H451" s="83" t="s">
        <v>267</v>
      </c>
      <c r="I451" s="135" t="s">
        <v>990</v>
      </c>
      <c r="K451" s="137" t="s">
        <v>1350</v>
      </c>
      <c r="L451" s="135" t="s">
        <v>990</v>
      </c>
      <c r="M451" s="135" t="s">
        <v>990</v>
      </c>
      <c r="O451" s="34" t="s">
        <v>1490</v>
      </c>
      <c r="P451" s="34" t="s">
        <v>243</v>
      </c>
      <c r="Q451" s="83">
        <v>2025</v>
      </c>
    </row>
    <row r="452" spans="1:17" ht="15" x14ac:dyDescent="0.2">
      <c r="A452" s="83"/>
      <c r="B452" s="83" t="s">
        <v>264</v>
      </c>
      <c r="C452" s="133" t="s">
        <v>563</v>
      </c>
      <c r="D452" s="134" t="s">
        <v>263</v>
      </c>
      <c r="E452" s="83" t="s">
        <v>264</v>
      </c>
      <c r="F452" s="83" t="s">
        <v>265</v>
      </c>
      <c r="G452" s="135" t="s">
        <v>268</v>
      </c>
      <c r="H452" s="83" t="s">
        <v>267</v>
      </c>
      <c r="I452" s="135" t="s">
        <v>991</v>
      </c>
      <c r="K452" s="137" t="s">
        <v>1351</v>
      </c>
      <c r="L452" s="135" t="s">
        <v>991</v>
      </c>
      <c r="M452" s="135" t="s">
        <v>991</v>
      </c>
      <c r="O452" s="34" t="s">
        <v>1491</v>
      </c>
      <c r="P452" s="34" t="s">
        <v>243</v>
      </c>
      <c r="Q452" s="83">
        <v>2025</v>
      </c>
    </row>
    <row r="453" spans="1:17" ht="15" x14ac:dyDescent="0.2">
      <c r="A453" s="83"/>
      <c r="B453" s="83" t="s">
        <v>264</v>
      </c>
      <c r="C453" s="133" t="s">
        <v>564</v>
      </c>
      <c r="D453" s="134" t="s">
        <v>263</v>
      </c>
      <c r="E453" s="83" t="s">
        <v>264</v>
      </c>
      <c r="F453" s="83" t="s">
        <v>265</v>
      </c>
      <c r="G453" s="135" t="s">
        <v>268</v>
      </c>
      <c r="H453" s="83" t="s">
        <v>267</v>
      </c>
      <c r="I453" s="135" t="s">
        <v>992</v>
      </c>
      <c r="K453" s="137" t="s">
        <v>1352</v>
      </c>
      <c r="L453" s="135" t="s">
        <v>992</v>
      </c>
      <c r="M453" s="135" t="s">
        <v>992</v>
      </c>
      <c r="O453" s="34" t="s">
        <v>1491</v>
      </c>
      <c r="P453" s="34" t="s">
        <v>243</v>
      </c>
      <c r="Q453" s="83">
        <v>2025</v>
      </c>
    </row>
    <row r="454" spans="1:17" ht="15" x14ac:dyDescent="0.2">
      <c r="A454" s="83"/>
      <c r="B454" s="83" t="s">
        <v>264</v>
      </c>
      <c r="C454" s="133" t="s">
        <v>565</v>
      </c>
      <c r="D454" s="134" t="s">
        <v>263</v>
      </c>
      <c r="E454" s="83" t="s">
        <v>264</v>
      </c>
      <c r="F454" s="83" t="s">
        <v>265</v>
      </c>
      <c r="G454" s="135" t="s">
        <v>266</v>
      </c>
      <c r="H454" s="83" t="s">
        <v>267</v>
      </c>
      <c r="I454" s="135" t="s">
        <v>993</v>
      </c>
      <c r="K454" s="137" t="s">
        <v>1353</v>
      </c>
      <c r="L454" s="135" t="s">
        <v>993</v>
      </c>
      <c r="M454" s="135" t="s">
        <v>993</v>
      </c>
      <c r="O454" s="34" t="s">
        <v>1490</v>
      </c>
      <c r="P454" s="34" t="s">
        <v>243</v>
      </c>
      <c r="Q454" s="83">
        <v>2025</v>
      </c>
    </row>
    <row r="455" spans="1:17" ht="15" x14ac:dyDescent="0.2">
      <c r="A455" s="83"/>
      <c r="B455" s="83" t="s">
        <v>264</v>
      </c>
      <c r="C455" s="133" t="s">
        <v>566</v>
      </c>
      <c r="D455" s="134" t="s">
        <v>263</v>
      </c>
      <c r="E455" s="83" t="s">
        <v>264</v>
      </c>
      <c r="F455" s="83" t="s">
        <v>265</v>
      </c>
      <c r="G455" s="135" t="s">
        <v>268</v>
      </c>
      <c r="H455" s="83" t="s">
        <v>267</v>
      </c>
      <c r="I455" s="135" t="s">
        <v>994</v>
      </c>
      <c r="K455" s="137" t="s">
        <v>1354</v>
      </c>
      <c r="L455" s="135" t="s">
        <v>994</v>
      </c>
      <c r="M455" s="135" t="s">
        <v>994</v>
      </c>
      <c r="O455" s="34" t="s">
        <v>1491</v>
      </c>
      <c r="P455" s="34" t="s">
        <v>243</v>
      </c>
      <c r="Q455" s="83">
        <v>2025</v>
      </c>
    </row>
    <row r="456" spans="1:17" ht="15" x14ac:dyDescent="0.2">
      <c r="A456" s="83"/>
      <c r="B456" s="83" t="s">
        <v>264</v>
      </c>
      <c r="C456" s="133" t="s">
        <v>567</v>
      </c>
      <c r="D456" s="134" t="s">
        <v>263</v>
      </c>
      <c r="E456" s="83" t="s">
        <v>264</v>
      </c>
      <c r="F456" s="83" t="s">
        <v>265</v>
      </c>
      <c r="G456" s="135" t="s">
        <v>268</v>
      </c>
      <c r="H456" s="83" t="s">
        <v>267</v>
      </c>
      <c r="I456" s="135" t="s">
        <v>995</v>
      </c>
      <c r="K456" s="137" t="s">
        <v>1355</v>
      </c>
      <c r="L456" s="135" t="s">
        <v>995</v>
      </c>
      <c r="M456" s="135" t="s">
        <v>995</v>
      </c>
      <c r="O456" s="34" t="s">
        <v>1491</v>
      </c>
      <c r="P456" s="34" t="s">
        <v>243</v>
      </c>
      <c r="Q456" s="83">
        <v>2025</v>
      </c>
    </row>
    <row r="457" spans="1:17" ht="15" x14ac:dyDescent="0.2">
      <c r="A457" s="83"/>
      <c r="B457" s="83" t="s">
        <v>264</v>
      </c>
      <c r="C457" s="133" t="s">
        <v>568</v>
      </c>
      <c r="D457" s="134" t="s">
        <v>263</v>
      </c>
      <c r="E457" s="83" t="s">
        <v>264</v>
      </c>
      <c r="F457" s="83" t="s">
        <v>265</v>
      </c>
      <c r="G457" s="135" t="s">
        <v>269</v>
      </c>
      <c r="H457" s="83" t="s">
        <v>267</v>
      </c>
      <c r="I457" s="135" t="s">
        <v>996</v>
      </c>
      <c r="K457" s="137" t="s">
        <v>1356</v>
      </c>
      <c r="L457" s="135" t="s">
        <v>996</v>
      </c>
      <c r="M457" s="135" t="s">
        <v>996</v>
      </c>
      <c r="O457" s="34" t="s">
        <v>1490</v>
      </c>
      <c r="P457" s="34" t="s">
        <v>243</v>
      </c>
      <c r="Q457" s="83">
        <v>2025</v>
      </c>
    </row>
    <row r="458" spans="1:17" ht="15" x14ac:dyDescent="0.2">
      <c r="A458" s="83"/>
      <c r="B458" s="83" t="s">
        <v>264</v>
      </c>
      <c r="C458" s="133" t="s">
        <v>569</v>
      </c>
      <c r="D458" s="134" t="s">
        <v>263</v>
      </c>
      <c r="E458" s="83" t="s">
        <v>264</v>
      </c>
      <c r="F458" s="83" t="s">
        <v>265</v>
      </c>
      <c r="G458" s="135" t="s">
        <v>269</v>
      </c>
      <c r="H458" s="83" t="s">
        <v>267</v>
      </c>
      <c r="I458" s="135" t="s">
        <v>997</v>
      </c>
      <c r="K458" s="137" t="s">
        <v>1357</v>
      </c>
      <c r="L458" s="135" t="s">
        <v>997</v>
      </c>
      <c r="M458" s="135" t="s">
        <v>997</v>
      </c>
      <c r="O458" s="34" t="s">
        <v>1490</v>
      </c>
      <c r="P458" s="34" t="s">
        <v>243</v>
      </c>
      <c r="Q458" s="83">
        <v>2025</v>
      </c>
    </row>
    <row r="459" spans="1:17" ht="15" x14ac:dyDescent="0.2">
      <c r="A459" s="83"/>
      <c r="B459" s="83" t="s">
        <v>264</v>
      </c>
      <c r="C459" s="133" t="s">
        <v>570</v>
      </c>
      <c r="D459" s="134" t="s">
        <v>263</v>
      </c>
      <c r="E459" s="83" t="s">
        <v>264</v>
      </c>
      <c r="F459" s="83" t="s">
        <v>265</v>
      </c>
      <c r="G459" s="135" t="s">
        <v>271</v>
      </c>
      <c r="H459" s="83" t="s">
        <v>267</v>
      </c>
      <c r="I459" s="135" t="s">
        <v>998</v>
      </c>
      <c r="K459" s="137" t="s">
        <v>1358</v>
      </c>
      <c r="L459" s="135" t="s">
        <v>998</v>
      </c>
      <c r="M459" s="135" t="s">
        <v>998</v>
      </c>
      <c r="O459" s="34" t="s">
        <v>1498</v>
      </c>
      <c r="P459" s="34" t="s">
        <v>243</v>
      </c>
      <c r="Q459" s="83">
        <v>2025</v>
      </c>
    </row>
    <row r="460" spans="1:17" ht="15" x14ac:dyDescent="0.2">
      <c r="A460" s="83"/>
      <c r="B460" s="83" t="s">
        <v>264</v>
      </c>
      <c r="C460" s="133" t="s">
        <v>571</v>
      </c>
      <c r="D460" s="134" t="s">
        <v>263</v>
      </c>
      <c r="E460" s="83" t="s">
        <v>264</v>
      </c>
      <c r="F460" s="83" t="s">
        <v>265</v>
      </c>
      <c r="G460" s="135" t="s">
        <v>269</v>
      </c>
      <c r="H460" s="83" t="s">
        <v>267</v>
      </c>
      <c r="I460" s="135" t="s">
        <v>999</v>
      </c>
      <c r="K460" s="137" t="s">
        <v>1359</v>
      </c>
      <c r="L460" s="135" t="s">
        <v>999</v>
      </c>
      <c r="M460" s="135" t="s">
        <v>999</v>
      </c>
      <c r="O460" s="34" t="s">
        <v>1490</v>
      </c>
      <c r="P460" s="34" t="s">
        <v>243</v>
      </c>
      <c r="Q460" s="83">
        <v>2025</v>
      </c>
    </row>
    <row r="461" spans="1:17" ht="15" x14ac:dyDescent="0.2">
      <c r="A461" s="83"/>
      <c r="B461" s="83" t="s">
        <v>264</v>
      </c>
      <c r="C461" s="133" t="s">
        <v>572</v>
      </c>
      <c r="D461" s="134" t="s">
        <v>263</v>
      </c>
      <c r="E461" s="83" t="s">
        <v>264</v>
      </c>
      <c r="F461" s="83" t="s">
        <v>265</v>
      </c>
      <c r="G461" s="135" t="s">
        <v>269</v>
      </c>
      <c r="H461" s="83" t="s">
        <v>267</v>
      </c>
      <c r="I461" s="135" t="s">
        <v>1000</v>
      </c>
      <c r="K461" s="137" t="s">
        <v>1360</v>
      </c>
      <c r="L461" s="135" t="s">
        <v>1000</v>
      </c>
      <c r="M461" s="135" t="s">
        <v>1000</v>
      </c>
      <c r="O461" s="34" t="s">
        <v>1490</v>
      </c>
      <c r="P461" s="34" t="s">
        <v>243</v>
      </c>
      <c r="Q461" s="83">
        <v>2025</v>
      </c>
    </row>
    <row r="462" spans="1:17" ht="15" x14ac:dyDescent="0.2">
      <c r="A462" s="83"/>
      <c r="B462" s="83" t="s">
        <v>264</v>
      </c>
      <c r="C462" s="133" t="s">
        <v>573</v>
      </c>
      <c r="D462" s="134" t="s">
        <v>263</v>
      </c>
      <c r="E462" s="83" t="s">
        <v>264</v>
      </c>
      <c r="F462" s="83" t="s">
        <v>265</v>
      </c>
      <c r="G462" s="135" t="s">
        <v>271</v>
      </c>
      <c r="H462" s="83" t="s">
        <v>267</v>
      </c>
      <c r="I462" s="135" t="s">
        <v>1001</v>
      </c>
      <c r="K462" s="137" t="s">
        <v>1361</v>
      </c>
      <c r="L462" s="135" t="s">
        <v>1001</v>
      </c>
      <c r="M462" s="135" t="s">
        <v>1001</v>
      </c>
      <c r="O462" s="34" t="s">
        <v>1499</v>
      </c>
      <c r="P462" s="34" t="s">
        <v>243</v>
      </c>
      <c r="Q462" s="83">
        <v>2025</v>
      </c>
    </row>
    <row r="463" spans="1:17" ht="15" x14ac:dyDescent="0.2">
      <c r="A463" s="83"/>
      <c r="B463" s="83" t="s">
        <v>264</v>
      </c>
      <c r="C463" s="133" t="s">
        <v>574</v>
      </c>
      <c r="D463" s="134" t="s">
        <v>263</v>
      </c>
      <c r="E463" s="83" t="s">
        <v>264</v>
      </c>
      <c r="F463" s="83" t="s">
        <v>265</v>
      </c>
      <c r="G463" s="135" t="s">
        <v>271</v>
      </c>
      <c r="H463" s="83" t="s">
        <v>267</v>
      </c>
      <c r="I463" s="135" t="s">
        <v>1001</v>
      </c>
      <c r="K463" s="137" t="s">
        <v>1361</v>
      </c>
      <c r="L463" s="135" t="s">
        <v>1001</v>
      </c>
      <c r="M463" s="135" t="s">
        <v>1001</v>
      </c>
      <c r="O463" s="34" t="s">
        <v>1499</v>
      </c>
      <c r="P463" s="34" t="s">
        <v>243</v>
      </c>
      <c r="Q463" s="83">
        <v>2025</v>
      </c>
    </row>
    <row r="464" spans="1:17" ht="15" x14ac:dyDescent="0.2">
      <c r="A464" s="83"/>
      <c r="B464" s="83" t="s">
        <v>264</v>
      </c>
      <c r="C464" s="133" t="s">
        <v>575</v>
      </c>
      <c r="D464" s="134" t="s">
        <v>263</v>
      </c>
      <c r="E464" s="83" t="s">
        <v>264</v>
      </c>
      <c r="F464" s="83" t="s">
        <v>265</v>
      </c>
      <c r="G464" s="135" t="s">
        <v>271</v>
      </c>
      <c r="H464" s="83" t="s">
        <v>267</v>
      </c>
      <c r="I464" s="135" t="s">
        <v>1002</v>
      </c>
      <c r="K464" s="137" t="s">
        <v>1362</v>
      </c>
      <c r="L464" s="135" t="s">
        <v>1002</v>
      </c>
      <c r="M464" s="135" t="s">
        <v>1002</v>
      </c>
      <c r="O464" s="34" t="s">
        <v>1491</v>
      </c>
      <c r="P464" s="34" t="s">
        <v>243</v>
      </c>
      <c r="Q464" s="83">
        <v>2025</v>
      </c>
    </row>
    <row r="465" spans="1:17" ht="15" x14ac:dyDescent="0.2">
      <c r="A465" s="83"/>
      <c r="B465" s="83" t="s">
        <v>264</v>
      </c>
      <c r="C465" s="133" t="s">
        <v>576</v>
      </c>
      <c r="D465" s="134" t="s">
        <v>263</v>
      </c>
      <c r="E465" s="83" t="s">
        <v>264</v>
      </c>
      <c r="F465" s="83" t="s">
        <v>265</v>
      </c>
      <c r="G465" s="135" t="s">
        <v>269</v>
      </c>
      <c r="H465" s="83" t="s">
        <v>267</v>
      </c>
      <c r="I465" s="135" t="s">
        <v>1003</v>
      </c>
      <c r="K465" s="137" t="s">
        <v>1363</v>
      </c>
      <c r="L465" s="135" t="s">
        <v>1003</v>
      </c>
      <c r="M465" s="135" t="s">
        <v>1003</v>
      </c>
      <c r="O465" s="34" t="s">
        <v>1490</v>
      </c>
      <c r="P465" s="34" t="s">
        <v>243</v>
      </c>
      <c r="Q465" s="83">
        <v>2025</v>
      </c>
    </row>
    <row r="466" spans="1:17" ht="15" x14ac:dyDescent="0.2">
      <c r="A466" s="83"/>
      <c r="B466" s="83" t="s">
        <v>264</v>
      </c>
      <c r="C466" s="133" t="s">
        <v>577</v>
      </c>
      <c r="D466" s="134" t="s">
        <v>263</v>
      </c>
      <c r="E466" s="83" t="s">
        <v>264</v>
      </c>
      <c r="F466" s="83" t="s">
        <v>265</v>
      </c>
      <c r="G466" s="135" t="s">
        <v>268</v>
      </c>
      <c r="H466" s="83" t="s">
        <v>267</v>
      </c>
      <c r="I466" s="135" t="s">
        <v>1004</v>
      </c>
      <c r="K466" s="137" t="s">
        <v>1364</v>
      </c>
      <c r="L466" s="135" t="s">
        <v>1004</v>
      </c>
      <c r="M466" s="135" t="s">
        <v>1004</v>
      </c>
      <c r="O466" s="34" t="s">
        <v>1500</v>
      </c>
      <c r="P466" s="34" t="s">
        <v>243</v>
      </c>
      <c r="Q466" s="83">
        <v>2025</v>
      </c>
    </row>
    <row r="467" spans="1:17" ht="15" x14ac:dyDescent="0.2">
      <c r="A467" s="83"/>
      <c r="B467" s="83" t="s">
        <v>264</v>
      </c>
      <c r="C467" s="133" t="s">
        <v>578</v>
      </c>
      <c r="D467" s="134" t="s">
        <v>263</v>
      </c>
      <c r="E467" s="83" t="s">
        <v>264</v>
      </c>
      <c r="F467" s="83" t="s">
        <v>265</v>
      </c>
      <c r="G467" s="135" t="s">
        <v>268</v>
      </c>
      <c r="H467" s="83" t="s">
        <v>267</v>
      </c>
      <c r="I467" s="135" t="s">
        <v>1005</v>
      </c>
      <c r="K467" s="137" t="s">
        <v>1365</v>
      </c>
      <c r="L467" s="135" t="s">
        <v>1005</v>
      </c>
      <c r="M467" s="135" t="s">
        <v>1005</v>
      </c>
      <c r="O467" s="34" t="s">
        <v>1491</v>
      </c>
      <c r="P467" s="34" t="s">
        <v>243</v>
      </c>
      <c r="Q467" s="83">
        <v>2025</v>
      </c>
    </row>
    <row r="468" spans="1:17" ht="15" x14ac:dyDescent="0.2">
      <c r="A468" s="83"/>
      <c r="B468" s="83" t="s">
        <v>264</v>
      </c>
      <c r="C468" s="133" t="s">
        <v>579</v>
      </c>
      <c r="D468" s="134" t="s">
        <v>263</v>
      </c>
      <c r="E468" s="83" t="s">
        <v>264</v>
      </c>
      <c r="F468" s="83" t="s">
        <v>265</v>
      </c>
      <c r="G468" s="135" t="s">
        <v>266</v>
      </c>
      <c r="H468" s="83" t="s">
        <v>267</v>
      </c>
      <c r="I468" s="135" t="s">
        <v>1006</v>
      </c>
      <c r="K468" s="137" t="s">
        <v>1366</v>
      </c>
      <c r="L468" s="135" t="s">
        <v>1006</v>
      </c>
      <c r="M468" s="135" t="s">
        <v>1006</v>
      </c>
      <c r="O468" s="34" t="s">
        <v>1490</v>
      </c>
      <c r="P468" s="34" t="s">
        <v>243</v>
      </c>
      <c r="Q468" s="83">
        <v>2025</v>
      </c>
    </row>
    <row r="469" spans="1:17" ht="15" x14ac:dyDescent="0.2">
      <c r="A469" s="83"/>
      <c r="B469" s="83" t="s">
        <v>264</v>
      </c>
      <c r="C469" s="133" t="s">
        <v>580</v>
      </c>
      <c r="D469" s="134" t="s">
        <v>263</v>
      </c>
      <c r="E469" s="83" t="s">
        <v>264</v>
      </c>
      <c r="F469" s="83" t="s">
        <v>265</v>
      </c>
      <c r="G469" s="135" t="s">
        <v>266</v>
      </c>
      <c r="H469" s="83" t="s">
        <v>267</v>
      </c>
      <c r="I469" s="135" t="s">
        <v>1007</v>
      </c>
      <c r="K469" s="137" t="s">
        <v>1367</v>
      </c>
      <c r="L469" s="135" t="s">
        <v>1007</v>
      </c>
      <c r="M469" s="135" t="s">
        <v>1007</v>
      </c>
      <c r="O469" s="34" t="s">
        <v>1490</v>
      </c>
      <c r="P469" s="34" t="s">
        <v>243</v>
      </c>
      <c r="Q469" s="83">
        <v>2025</v>
      </c>
    </row>
    <row r="470" spans="1:17" ht="15" x14ac:dyDescent="0.2">
      <c r="A470" s="83"/>
      <c r="B470" s="83" t="s">
        <v>264</v>
      </c>
      <c r="C470" s="133" t="s">
        <v>581</v>
      </c>
      <c r="D470" s="134" t="s">
        <v>263</v>
      </c>
      <c r="E470" s="83" t="s">
        <v>264</v>
      </c>
      <c r="F470" s="83" t="s">
        <v>265</v>
      </c>
      <c r="G470" s="135" t="s">
        <v>268</v>
      </c>
      <c r="H470" s="83" t="s">
        <v>267</v>
      </c>
      <c r="I470" s="135" t="s">
        <v>1008</v>
      </c>
      <c r="K470" s="137" t="s">
        <v>1368</v>
      </c>
      <c r="L470" s="135" t="s">
        <v>1008</v>
      </c>
      <c r="M470" s="135" t="s">
        <v>1008</v>
      </c>
      <c r="O470" s="34" t="s">
        <v>1491</v>
      </c>
      <c r="P470" s="34" t="s">
        <v>243</v>
      </c>
      <c r="Q470" s="83">
        <v>2025</v>
      </c>
    </row>
    <row r="471" spans="1:17" ht="15" x14ac:dyDescent="0.2">
      <c r="A471" s="83"/>
      <c r="B471" s="83" t="s">
        <v>264</v>
      </c>
      <c r="C471" s="133" t="s">
        <v>582</v>
      </c>
      <c r="D471" s="134" t="s">
        <v>263</v>
      </c>
      <c r="E471" s="83" t="s">
        <v>264</v>
      </c>
      <c r="F471" s="83" t="s">
        <v>265</v>
      </c>
      <c r="G471" s="135" t="s">
        <v>268</v>
      </c>
      <c r="H471" s="83" t="s">
        <v>267</v>
      </c>
      <c r="I471" s="135" t="s">
        <v>1009</v>
      </c>
      <c r="K471" s="137" t="s">
        <v>1369</v>
      </c>
      <c r="L471" s="135" t="s">
        <v>1009</v>
      </c>
      <c r="M471" s="135" t="s">
        <v>1009</v>
      </c>
      <c r="O471" s="34" t="s">
        <v>1491</v>
      </c>
      <c r="P471" s="34" t="s">
        <v>243</v>
      </c>
      <c r="Q471" s="83">
        <v>2025</v>
      </c>
    </row>
    <row r="472" spans="1:17" ht="15" x14ac:dyDescent="0.2">
      <c r="A472" s="83"/>
      <c r="B472" s="83" t="s">
        <v>264</v>
      </c>
      <c r="C472" s="133" t="s">
        <v>583</v>
      </c>
      <c r="D472" s="134" t="s">
        <v>263</v>
      </c>
      <c r="E472" s="83" t="s">
        <v>264</v>
      </c>
      <c r="F472" s="83" t="s">
        <v>265</v>
      </c>
      <c r="G472" s="135" t="s">
        <v>268</v>
      </c>
      <c r="H472" s="83" t="s">
        <v>267</v>
      </c>
      <c r="I472" s="135" t="s">
        <v>1010</v>
      </c>
      <c r="K472" s="137" t="s">
        <v>1370</v>
      </c>
      <c r="L472" s="135" t="s">
        <v>1010</v>
      </c>
      <c r="M472" s="135" t="s">
        <v>1010</v>
      </c>
      <c r="O472" s="34" t="s">
        <v>1491</v>
      </c>
      <c r="P472" s="34" t="s">
        <v>243</v>
      </c>
      <c r="Q472" s="83">
        <v>2025</v>
      </c>
    </row>
    <row r="473" spans="1:17" ht="15" x14ac:dyDescent="0.2">
      <c r="A473" s="83"/>
      <c r="B473" s="83" t="s">
        <v>264</v>
      </c>
      <c r="C473" s="133" t="s">
        <v>584</v>
      </c>
      <c r="D473" s="134" t="s">
        <v>263</v>
      </c>
      <c r="E473" s="83" t="s">
        <v>264</v>
      </c>
      <c r="F473" s="83" t="s">
        <v>265</v>
      </c>
      <c r="G473" s="135" t="s">
        <v>268</v>
      </c>
      <c r="H473" s="83" t="s">
        <v>267</v>
      </c>
      <c r="I473" s="135" t="s">
        <v>1011</v>
      </c>
      <c r="K473" s="137" t="s">
        <v>1371</v>
      </c>
      <c r="L473" s="135" t="s">
        <v>1011</v>
      </c>
      <c r="M473" s="135" t="s">
        <v>1011</v>
      </c>
      <c r="O473" s="34" t="s">
        <v>1491</v>
      </c>
      <c r="P473" s="34" t="s">
        <v>243</v>
      </c>
      <c r="Q473" s="83">
        <v>2025</v>
      </c>
    </row>
    <row r="474" spans="1:17" ht="15" x14ac:dyDescent="0.2">
      <c r="A474" s="83"/>
      <c r="B474" s="83" t="s">
        <v>264</v>
      </c>
      <c r="C474" s="133" t="s">
        <v>585</v>
      </c>
      <c r="D474" s="134" t="s">
        <v>263</v>
      </c>
      <c r="E474" s="83" t="s">
        <v>264</v>
      </c>
      <c r="F474" s="83" t="s">
        <v>265</v>
      </c>
      <c r="G474" s="135" t="s">
        <v>268</v>
      </c>
      <c r="H474" s="83" t="s">
        <v>267</v>
      </c>
      <c r="I474" s="135" t="s">
        <v>1012</v>
      </c>
      <c r="K474" s="137" t="s">
        <v>1372</v>
      </c>
      <c r="L474" s="135" t="s">
        <v>1012</v>
      </c>
      <c r="M474" s="135" t="s">
        <v>1012</v>
      </c>
      <c r="O474" s="34" t="s">
        <v>1491</v>
      </c>
      <c r="P474" s="34" t="s">
        <v>243</v>
      </c>
      <c r="Q474" s="83">
        <v>2025</v>
      </c>
    </row>
    <row r="475" spans="1:17" ht="15" x14ac:dyDescent="0.2">
      <c r="A475" s="83"/>
      <c r="B475" s="83" t="s">
        <v>264</v>
      </c>
      <c r="C475" s="133" t="s">
        <v>586</v>
      </c>
      <c r="D475" s="134" t="s">
        <v>263</v>
      </c>
      <c r="E475" s="83" t="s">
        <v>264</v>
      </c>
      <c r="F475" s="83" t="s">
        <v>265</v>
      </c>
      <c r="G475" s="135" t="s">
        <v>271</v>
      </c>
      <c r="H475" s="83" t="s">
        <v>267</v>
      </c>
      <c r="I475" s="135" t="s">
        <v>1013</v>
      </c>
      <c r="K475" s="137" t="s">
        <v>1373</v>
      </c>
      <c r="L475" s="135" t="s">
        <v>1013</v>
      </c>
      <c r="M475" s="135" t="s">
        <v>1013</v>
      </c>
      <c r="O475" s="34" t="s">
        <v>1501</v>
      </c>
      <c r="P475" s="34" t="s">
        <v>243</v>
      </c>
      <c r="Q475" s="83">
        <v>2025</v>
      </c>
    </row>
    <row r="476" spans="1:17" ht="15" x14ac:dyDescent="0.2">
      <c r="A476" s="83"/>
      <c r="B476" s="83" t="s">
        <v>264</v>
      </c>
      <c r="C476" s="133" t="s">
        <v>587</v>
      </c>
      <c r="D476" s="134" t="s">
        <v>263</v>
      </c>
      <c r="E476" s="83" t="s">
        <v>264</v>
      </c>
      <c r="F476" s="83" t="s">
        <v>265</v>
      </c>
      <c r="G476" s="135" t="s">
        <v>271</v>
      </c>
      <c r="H476" s="83" t="s">
        <v>267</v>
      </c>
      <c r="I476" s="135" t="s">
        <v>1013</v>
      </c>
      <c r="K476" s="137" t="s">
        <v>1374</v>
      </c>
      <c r="L476" s="135" t="s">
        <v>1013</v>
      </c>
      <c r="M476" s="135" t="s">
        <v>1013</v>
      </c>
      <c r="O476" s="34" t="s">
        <v>1501</v>
      </c>
      <c r="P476" s="34" t="s">
        <v>243</v>
      </c>
      <c r="Q476" s="83">
        <v>2025</v>
      </c>
    </row>
    <row r="477" spans="1:17" ht="15" x14ac:dyDescent="0.2">
      <c r="A477" s="83"/>
      <c r="B477" s="83" t="s">
        <v>264</v>
      </c>
      <c r="C477" s="133" t="s">
        <v>588</v>
      </c>
      <c r="D477" s="134" t="s">
        <v>263</v>
      </c>
      <c r="E477" s="83" t="s">
        <v>264</v>
      </c>
      <c r="F477" s="83" t="s">
        <v>265</v>
      </c>
      <c r="G477" s="135" t="s">
        <v>266</v>
      </c>
      <c r="H477" s="83" t="s">
        <v>267</v>
      </c>
      <c r="I477" s="135" t="s">
        <v>1014</v>
      </c>
      <c r="K477" s="137" t="s">
        <v>1375</v>
      </c>
      <c r="L477" s="135" t="s">
        <v>1014</v>
      </c>
      <c r="M477" s="135" t="s">
        <v>1014</v>
      </c>
      <c r="O477" s="34" t="s">
        <v>1498</v>
      </c>
      <c r="P477" s="34" t="s">
        <v>243</v>
      </c>
      <c r="Q477" s="83">
        <v>2025</v>
      </c>
    </row>
    <row r="478" spans="1:17" ht="15" x14ac:dyDescent="0.2">
      <c r="A478" s="83"/>
      <c r="B478" s="83" t="s">
        <v>264</v>
      </c>
      <c r="C478" s="133" t="s">
        <v>589</v>
      </c>
      <c r="D478" s="134" t="s">
        <v>263</v>
      </c>
      <c r="E478" s="83" t="s">
        <v>264</v>
      </c>
      <c r="F478" s="83" t="s">
        <v>265</v>
      </c>
      <c r="G478" s="135" t="s">
        <v>266</v>
      </c>
      <c r="H478" s="83" t="s">
        <v>267</v>
      </c>
      <c r="I478" s="135" t="s">
        <v>1014</v>
      </c>
      <c r="K478" s="137" t="s">
        <v>1376</v>
      </c>
      <c r="L478" s="135" t="s">
        <v>1014</v>
      </c>
      <c r="M478" s="135" t="s">
        <v>1014</v>
      </c>
      <c r="O478" s="34" t="s">
        <v>1500</v>
      </c>
      <c r="P478" s="34" t="s">
        <v>243</v>
      </c>
      <c r="Q478" s="83">
        <v>2025</v>
      </c>
    </row>
    <row r="479" spans="1:17" ht="15" x14ac:dyDescent="0.2">
      <c r="A479" s="83"/>
      <c r="B479" s="83" t="s">
        <v>264</v>
      </c>
      <c r="C479" s="133" t="s">
        <v>590</v>
      </c>
      <c r="D479" s="134" t="s">
        <v>263</v>
      </c>
      <c r="E479" s="83" t="s">
        <v>264</v>
      </c>
      <c r="F479" s="83" t="s">
        <v>265</v>
      </c>
      <c r="G479" s="135" t="s">
        <v>266</v>
      </c>
      <c r="H479" s="83" t="s">
        <v>267</v>
      </c>
      <c r="I479" s="135" t="s">
        <v>1014</v>
      </c>
      <c r="K479" s="137" t="s">
        <v>1377</v>
      </c>
      <c r="L479" s="135" t="s">
        <v>1014</v>
      </c>
      <c r="M479" s="135" t="s">
        <v>1014</v>
      </c>
      <c r="O479" s="34" t="s">
        <v>1498</v>
      </c>
      <c r="P479" s="34" t="s">
        <v>243</v>
      </c>
      <c r="Q479" s="83">
        <v>2025</v>
      </c>
    </row>
    <row r="480" spans="1:17" ht="15" x14ac:dyDescent="0.2">
      <c r="A480" s="83"/>
      <c r="B480" s="83" t="s">
        <v>264</v>
      </c>
      <c r="C480" s="133" t="s">
        <v>591</v>
      </c>
      <c r="D480" s="134" t="s">
        <v>263</v>
      </c>
      <c r="E480" s="83" t="s">
        <v>264</v>
      </c>
      <c r="F480" s="83" t="s">
        <v>265</v>
      </c>
      <c r="G480" s="135" t="s">
        <v>268</v>
      </c>
      <c r="H480" s="83" t="s">
        <v>267</v>
      </c>
      <c r="I480" s="135" t="s">
        <v>1015</v>
      </c>
      <c r="K480" s="137" t="s">
        <v>1378</v>
      </c>
      <c r="L480" s="135" t="s">
        <v>1015</v>
      </c>
      <c r="M480" s="135" t="s">
        <v>1015</v>
      </c>
      <c r="O480" s="34" t="s">
        <v>1491</v>
      </c>
      <c r="P480" s="34" t="s">
        <v>243</v>
      </c>
      <c r="Q480" s="83">
        <v>2025</v>
      </c>
    </row>
    <row r="481" spans="1:17" ht="15" x14ac:dyDescent="0.2">
      <c r="A481" s="83"/>
      <c r="B481" s="83" t="s">
        <v>264</v>
      </c>
      <c r="C481" s="133" t="s">
        <v>592</v>
      </c>
      <c r="D481" s="134" t="s">
        <v>263</v>
      </c>
      <c r="E481" s="83" t="s">
        <v>264</v>
      </c>
      <c r="F481" s="83" t="s">
        <v>265</v>
      </c>
      <c r="G481" s="135" t="s">
        <v>268</v>
      </c>
      <c r="H481" s="83" t="s">
        <v>267</v>
      </c>
      <c r="I481" s="135" t="s">
        <v>1016</v>
      </c>
      <c r="K481" s="137" t="s">
        <v>1379</v>
      </c>
      <c r="L481" s="135" t="s">
        <v>1016</v>
      </c>
      <c r="M481" s="135" t="s">
        <v>1016</v>
      </c>
      <c r="O481" s="34" t="s">
        <v>1491</v>
      </c>
      <c r="P481" s="34" t="s">
        <v>243</v>
      </c>
      <c r="Q481" s="83">
        <v>2025</v>
      </c>
    </row>
    <row r="482" spans="1:17" ht="15" x14ac:dyDescent="0.2">
      <c r="A482" s="83"/>
      <c r="B482" s="83" t="s">
        <v>264</v>
      </c>
      <c r="C482" s="133" t="s">
        <v>593</v>
      </c>
      <c r="D482" s="134" t="s">
        <v>263</v>
      </c>
      <c r="E482" s="83" t="s">
        <v>264</v>
      </c>
      <c r="F482" s="83" t="s">
        <v>265</v>
      </c>
      <c r="G482" s="135" t="s">
        <v>268</v>
      </c>
      <c r="H482" s="83" t="s">
        <v>267</v>
      </c>
      <c r="I482" s="135" t="s">
        <v>1017</v>
      </c>
      <c r="K482" s="137" t="s">
        <v>1380</v>
      </c>
      <c r="L482" s="135" t="s">
        <v>1017</v>
      </c>
      <c r="M482" s="135" t="s">
        <v>1017</v>
      </c>
      <c r="O482" s="34" t="s">
        <v>1491</v>
      </c>
      <c r="P482" s="34" t="s">
        <v>243</v>
      </c>
      <c r="Q482" s="83">
        <v>2025</v>
      </c>
    </row>
    <row r="483" spans="1:17" ht="15" x14ac:dyDescent="0.2">
      <c r="A483" s="83"/>
      <c r="B483" s="83" t="s">
        <v>264</v>
      </c>
      <c r="C483" s="133" t="s">
        <v>594</v>
      </c>
      <c r="D483" s="134" t="s">
        <v>263</v>
      </c>
      <c r="E483" s="83" t="s">
        <v>264</v>
      </c>
      <c r="F483" s="83" t="s">
        <v>265</v>
      </c>
      <c r="G483" s="135" t="s">
        <v>268</v>
      </c>
      <c r="H483" s="83" t="s">
        <v>267</v>
      </c>
      <c r="I483" s="135" t="s">
        <v>1018</v>
      </c>
      <c r="K483" s="137" t="s">
        <v>1381</v>
      </c>
      <c r="L483" s="135" t="s">
        <v>1018</v>
      </c>
      <c r="M483" s="135" t="s">
        <v>1018</v>
      </c>
      <c r="O483" s="34" t="s">
        <v>1491</v>
      </c>
      <c r="P483" s="34" t="s">
        <v>243</v>
      </c>
      <c r="Q483" s="83">
        <v>2025</v>
      </c>
    </row>
    <row r="484" spans="1:17" ht="15" x14ac:dyDescent="0.2">
      <c r="A484" s="83"/>
      <c r="B484" s="83" t="s">
        <v>264</v>
      </c>
      <c r="C484" s="133" t="s">
        <v>595</v>
      </c>
      <c r="D484" s="134" t="s">
        <v>263</v>
      </c>
      <c r="E484" s="83" t="s">
        <v>264</v>
      </c>
      <c r="F484" s="83" t="s">
        <v>265</v>
      </c>
      <c r="G484" s="135" t="s">
        <v>266</v>
      </c>
      <c r="H484" s="83" t="s">
        <v>267</v>
      </c>
      <c r="I484" s="135" t="s">
        <v>1019</v>
      </c>
      <c r="K484" s="137" t="s">
        <v>1382</v>
      </c>
      <c r="L484" s="135" t="s">
        <v>1019</v>
      </c>
      <c r="M484" s="135" t="s">
        <v>1019</v>
      </c>
      <c r="O484" s="34" t="s">
        <v>1489</v>
      </c>
      <c r="P484" s="34" t="s">
        <v>243</v>
      </c>
      <c r="Q484" s="83">
        <v>2025</v>
      </c>
    </row>
    <row r="485" spans="1:17" ht="15" x14ac:dyDescent="0.2">
      <c r="A485" s="83"/>
      <c r="B485" s="83" t="s">
        <v>264</v>
      </c>
      <c r="C485" s="133" t="s">
        <v>596</v>
      </c>
      <c r="D485" s="134" t="s">
        <v>263</v>
      </c>
      <c r="E485" s="83" t="s">
        <v>264</v>
      </c>
      <c r="F485" s="83" t="s">
        <v>265</v>
      </c>
      <c r="G485" s="135" t="s">
        <v>266</v>
      </c>
      <c r="H485" s="83" t="s">
        <v>267</v>
      </c>
      <c r="I485" s="135" t="s">
        <v>1020</v>
      </c>
      <c r="K485" s="137" t="s">
        <v>1383</v>
      </c>
      <c r="L485" s="135" t="s">
        <v>1020</v>
      </c>
      <c r="M485" s="135" t="s">
        <v>1020</v>
      </c>
      <c r="O485" s="34" t="s">
        <v>1502</v>
      </c>
      <c r="P485" s="34" t="s">
        <v>243</v>
      </c>
      <c r="Q485" s="83">
        <v>2025</v>
      </c>
    </row>
    <row r="486" spans="1:17" ht="15" x14ac:dyDescent="0.2">
      <c r="A486" s="83"/>
      <c r="B486" s="83" t="s">
        <v>264</v>
      </c>
      <c r="C486" s="133" t="s">
        <v>597</v>
      </c>
      <c r="D486" s="134" t="s">
        <v>263</v>
      </c>
      <c r="E486" s="83" t="s">
        <v>264</v>
      </c>
      <c r="F486" s="83" t="s">
        <v>265</v>
      </c>
      <c r="G486" s="135" t="s">
        <v>266</v>
      </c>
      <c r="H486" s="83" t="s">
        <v>267</v>
      </c>
      <c r="I486" s="135" t="s">
        <v>1020</v>
      </c>
      <c r="K486" s="137" t="s">
        <v>1384</v>
      </c>
      <c r="L486" s="135" t="s">
        <v>1020</v>
      </c>
      <c r="M486" s="135" t="s">
        <v>1020</v>
      </c>
      <c r="O486" s="34" t="s">
        <v>1502</v>
      </c>
      <c r="P486" s="34" t="s">
        <v>243</v>
      </c>
      <c r="Q486" s="83">
        <v>2025</v>
      </c>
    </row>
    <row r="487" spans="1:17" ht="15" x14ac:dyDescent="0.2">
      <c r="A487" s="83"/>
      <c r="B487" s="83" t="s">
        <v>264</v>
      </c>
      <c r="C487" s="133" t="s">
        <v>598</v>
      </c>
      <c r="D487" s="134" t="s">
        <v>263</v>
      </c>
      <c r="E487" s="83" t="s">
        <v>264</v>
      </c>
      <c r="F487" s="83" t="s">
        <v>265</v>
      </c>
      <c r="G487" s="135" t="s">
        <v>266</v>
      </c>
      <c r="H487" s="83" t="s">
        <v>267</v>
      </c>
      <c r="I487" s="135" t="s">
        <v>1020</v>
      </c>
      <c r="K487" s="137" t="s">
        <v>1385</v>
      </c>
      <c r="L487" s="135" t="s">
        <v>1020</v>
      </c>
      <c r="M487" s="135" t="s">
        <v>1020</v>
      </c>
      <c r="O487" s="34" t="s">
        <v>1502</v>
      </c>
      <c r="P487" s="34" t="s">
        <v>243</v>
      </c>
      <c r="Q487" s="83">
        <v>2025</v>
      </c>
    </row>
    <row r="488" spans="1:17" ht="15" x14ac:dyDescent="0.2">
      <c r="A488" s="83"/>
      <c r="B488" s="83" t="s">
        <v>264</v>
      </c>
      <c r="C488" s="133" t="s">
        <v>599</v>
      </c>
      <c r="D488" s="134" t="s">
        <v>263</v>
      </c>
      <c r="E488" s="83" t="s">
        <v>264</v>
      </c>
      <c r="F488" s="83" t="s">
        <v>265</v>
      </c>
      <c r="G488" s="135" t="s">
        <v>266</v>
      </c>
      <c r="H488" s="83" t="s">
        <v>267</v>
      </c>
      <c r="I488" s="135" t="s">
        <v>1021</v>
      </c>
      <c r="K488" s="137" t="s">
        <v>1386</v>
      </c>
      <c r="L488" s="135" t="s">
        <v>1021</v>
      </c>
      <c r="M488" s="135" t="s">
        <v>1021</v>
      </c>
      <c r="O488" s="34" t="s">
        <v>1502</v>
      </c>
      <c r="P488" s="34" t="s">
        <v>243</v>
      </c>
      <c r="Q488" s="83">
        <v>2025</v>
      </c>
    </row>
    <row r="489" spans="1:17" ht="15" x14ac:dyDescent="0.2">
      <c r="A489" s="83"/>
      <c r="B489" s="83" t="s">
        <v>264</v>
      </c>
      <c r="C489" s="133" t="s">
        <v>600</v>
      </c>
      <c r="D489" s="134" t="s">
        <v>263</v>
      </c>
      <c r="E489" s="83" t="s">
        <v>264</v>
      </c>
      <c r="F489" s="83" t="s">
        <v>265</v>
      </c>
      <c r="G489" s="135" t="s">
        <v>266</v>
      </c>
      <c r="H489" s="83" t="s">
        <v>267</v>
      </c>
      <c r="I489" s="135" t="s">
        <v>1022</v>
      </c>
      <c r="K489" s="137" t="s">
        <v>1387</v>
      </c>
      <c r="L489" s="135" t="s">
        <v>1022</v>
      </c>
      <c r="M489" s="135" t="s">
        <v>1022</v>
      </c>
      <c r="O489" s="34" t="s">
        <v>1502</v>
      </c>
      <c r="P489" s="34" t="s">
        <v>243</v>
      </c>
      <c r="Q489" s="83">
        <v>2025</v>
      </c>
    </row>
    <row r="490" spans="1:17" ht="15" x14ac:dyDescent="0.2">
      <c r="A490" s="83"/>
      <c r="B490" s="83" t="s">
        <v>264</v>
      </c>
      <c r="C490" s="133" t="s">
        <v>601</v>
      </c>
      <c r="D490" s="134" t="s">
        <v>263</v>
      </c>
      <c r="E490" s="83" t="s">
        <v>264</v>
      </c>
      <c r="F490" s="83" t="s">
        <v>265</v>
      </c>
      <c r="G490" s="135" t="s">
        <v>266</v>
      </c>
      <c r="H490" s="83" t="s">
        <v>267</v>
      </c>
      <c r="I490" s="135" t="s">
        <v>1022</v>
      </c>
      <c r="K490" s="137" t="s">
        <v>1388</v>
      </c>
      <c r="L490" s="135" t="s">
        <v>1022</v>
      </c>
      <c r="M490" s="135" t="s">
        <v>1022</v>
      </c>
      <c r="O490" s="34" t="s">
        <v>1502</v>
      </c>
      <c r="P490" s="34" t="s">
        <v>243</v>
      </c>
      <c r="Q490" s="83">
        <v>2025</v>
      </c>
    </row>
    <row r="491" spans="1:17" ht="15" x14ac:dyDescent="0.2">
      <c r="A491" s="83"/>
      <c r="B491" s="83" t="s">
        <v>264</v>
      </c>
      <c r="C491" s="133" t="s">
        <v>602</v>
      </c>
      <c r="D491" s="134" t="s">
        <v>263</v>
      </c>
      <c r="E491" s="83" t="s">
        <v>264</v>
      </c>
      <c r="F491" s="83" t="s">
        <v>265</v>
      </c>
      <c r="G491" s="135" t="s">
        <v>266</v>
      </c>
      <c r="H491" s="83" t="s">
        <v>267</v>
      </c>
      <c r="I491" s="135" t="s">
        <v>1022</v>
      </c>
      <c r="K491" s="137" t="s">
        <v>1389</v>
      </c>
      <c r="L491" s="135" t="s">
        <v>1022</v>
      </c>
      <c r="M491" s="135" t="s">
        <v>1022</v>
      </c>
      <c r="O491" s="34" t="s">
        <v>1502</v>
      </c>
      <c r="P491" s="34" t="s">
        <v>243</v>
      </c>
      <c r="Q491" s="83">
        <v>2025</v>
      </c>
    </row>
    <row r="492" spans="1:17" ht="15" x14ac:dyDescent="0.2">
      <c r="A492" s="83"/>
      <c r="B492" s="83" t="s">
        <v>264</v>
      </c>
      <c r="C492" s="133" t="s">
        <v>603</v>
      </c>
      <c r="D492" s="134" t="s">
        <v>263</v>
      </c>
      <c r="E492" s="83" t="s">
        <v>264</v>
      </c>
      <c r="F492" s="83" t="s">
        <v>265</v>
      </c>
      <c r="G492" s="135" t="s">
        <v>269</v>
      </c>
      <c r="H492" s="83" t="s">
        <v>267</v>
      </c>
      <c r="I492" s="135" t="s">
        <v>1023</v>
      </c>
      <c r="K492" s="137" t="s">
        <v>1390</v>
      </c>
      <c r="L492" s="135" t="s">
        <v>1023</v>
      </c>
      <c r="M492" s="135" t="s">
        <v>1023</v>
      </c>
      <c r="O492" s="34" t="s">
        <v>1502</v>
      </c>
      <c r="P492" s="34" t="s">
        <v>243</v>
      </c>
      <c r="Q492" s="83">
        <v>2025</v>
      </c>
    </row>
    <row r="493" spans="1:17" ht="15" x14ac:dyDescent="0.2">
      <c r="A493" s="83"/>
      <c r="B493" s="83" t="s">
        <v>264</v>
      </c>
      <c r="C493" s="133" t="s">
        <v>604</v>
      </c>
      <c r="D493" s="134" t="s">
        <v>263</v>
      </c>
      <c r="E493" s="83" t="s">
        <v>264</v>
      </c>
      <c r="F493" s="83" t="s">
        <v>265</v>
      </c>
      <c r="G493" s="135" t="s">
        <v>266</v>
      </c>
      <c r="H493" s="83" t="s">
        <v>267</v>
      </c>
      <c r="I493" s="135" t="s">
        <v>1024</v>
      </c>
      <c r="K493" s="137" t="s">
        <v>1391</v>
      </c>
      <c r="L493" s="135" t="s">
        <v>1024</v>
      </c>
      <c r="M493" s="135" t="s">
        <v>1024</v>
      </c>
      <c r="O493" s="34" t="s">
        <v>1502</v>
      </c>
      <c r="P493" s="34" t="s">
        <v>243</v>
      </c>
      <c r="Q493" s="83">
        <v>2025</v>
      </c>
    </row>
    <row r="494" spans="1:17" ht="15" x14ac:dyDescent="0.2">
      <c r="A494" s="83"/>
      <c r="B494" s="83" t="s">
        <v>264</v>
      </c>
      <c r="C494" s="133" t="s">
        <v>605</v>
      </c>
      <c r="D494" s="134" t="s">
        <v>263</v>
      </c>
      <c r="E494" s="83" t="s">
        <v>264</v>
      </c>
      <c r="F494" s="83" t="s">
        <v>265</v>
      </c>
      <c r="G494" s="135" t="s">
        <v>266</v>
      </c>
      <c r="H494" s="83" t="s">
        <v>267</v>
      </c>
      <c r="I494" s="135" t="s">
        <v>1024</v>
      </c>
      <c r="K494" s="137" t="s">
        <v>1392</v>
      </c>
      <c r="L494" s="135" t="s">
        <v>1024</v>
      </c>
      <c r="M494" s="135" t="s">
        <v>1024</v>
      </c>
      <c r="O494" s="34" t="s">
        <v>1502</v>
      </c>
      <c r="P494" s="34" t="s">
        <v>243</v>
      </c>
      <c r="Q494" s="83">
        <v>2025</v>
      </c>
    </row>
    <row r="495" spans="1:17" ht="15" x14ac:dyDescent="0.2">
      <c r="A495" s="83"/>
      <c r="B495" s="83" t="s">
        <v>264</v>
      </c>
      <c r="C495" s="133" t="s">
        <v>606</v>
      </c>
      <c r="D495" s="134" t="s">
        <v>263</v>
      </c>
      <c r="E495" s="83" t="s">
        <v>264</v>
      </c>
      <c r="F495" s="83" t="s">
        <v>265</v>
      </c>
      <c r="G495" s="135" t="s">
        <v>266</v>
      </c>
      <c r="H495" s="83" t="s">
        <v>267</v>
      </c>
      <c r="I495" s="135" t="s">
        <v>1024</v>
      </c>
      <c r="K495" s="137" t="s">
        <v>1393</v>
      </c>
      <c r="L495" s="135" t="s">
        <v>1024</v>
      </c>
      <c r="M495" s="135" t="s">
        <v>1024</v>
      </c>
      <c r="O495" s="34" t="s">
        <v>1502</v>
      </c>
      <c r="P495" s="34" t="s">
        <v>243</v>
      </c>
      <c r="Q495" s="83">
        <v>2025</v>
      </c>
    </row>
    <row r="496" spans="1:17" ht="15" x14ac:dyDescent="0.2">
      <c r="A496" s="83"/>
      <c r="B496" s="83" t="s">
        <v>264</v>
      </c>
      <c r="C496" s="133" t="s">
        <v>607</v>
      </c>
      <c r="D496" s="134" t="s">
        <v>263</v>
      </c>
      <c r="E496" s="83" t="s">
        <v>264</v>
      </c>
      <c r="F496" s="83" t="s">
        <v>265</v>
      </c>
      <c r="G496" s="135" t="s">
        <v>269</v>
      </c>
      <c r="H496" s="83" t="s">
        <v>267</v>
      </c>
      <c r="I496" s="135" t="s">
        <v>1025</v>
      </c>
      <c r="K496" s="137" t="s">
        <v>1394</v>
      </c>
      <c r="L496" s="135" t="s">
        <v>1025</v>
      </c>
      <c r="M496" s="135" t="s">
        <v>1025</v>
      </c>
      <c r="O496" s="34" t="s">
        <v>1502</v>
      </c>
      <c r="P496" s="34" t="s">
        <v>243</v>
      </c>
      <c r="Q496" s="83">
        <v>2025</v>
      </c>
    </row>
    <row r="497" spans="1:17" ht="15" x14ac:dyDescent="0.2">
      <c r="A497" s="83"/>
      <c r="B497" s="83" t="s">
        <v>264</v>
      </c>
      <c r="C497" s="133" t="s">
        <v>608</v>
      </c>
      <c r="D497" s="134" t="s">
        <v>263</v>
      </c>
      <c r="E497" s="83" t="s">
        <v>264</v>
      </c>
      <c r="F497" s="83" t="s">
        <v>265</v>
      </c>
      <c r="G497" s="135" t="s">
        <v>269</v>
      </c>
      <c r="H497" s="83" t="s">
        <v>267</v>
      </c>
      <c r="I497" s="135" t="s">
        <v>1025</v>
      </c>
      <c r="K497" s="137" t="s">
        <v>1395</v>
      </c>
      <c r="L497" s="135" t="s">
        <v>1025</v>
      </c>
      <c r="M497" s="135" t="s">
        <v>1025</v>
      </c>
      <c r="O497" s="34" t="s">
        <v>1502</v>
      </c>
      <c r="P497" s="34" t="s">
        <v>243</v>
      </c>
      <c r="Q497" s="83">
        <v>2025</v>
      </c>
    </row>
    <row r="498" spans="1:17" ht="15" x14ac:dyDescent="0.2">
      <c r="A498" s="83"/>
      <c r="B498" s="83" t="s">
        <v>264</v>
      </c>
      <c r="C498" s="133" t="s">
        <v>609</v>
      </c>
      <c r="D498" s="134" t="s">
        <v>263</v>
      </c>
      <c r="E498" s="83" t="s">
        <v>264</v>
      </c>
      <c r="F498" s="83" t="s">
        <v>265</v>
      </c>
      <c r="G498" s="135" t="s">
        <v>269</v>
      </c>
      <c r="H498" s="83" t="s">
        <v>267</v>
      </c>
      <c r="I498" s="135" t="s">
        <v>1025</v>
      </c>
      <c r="K498" s="137" t="s">
        <v>1396</v>
      </c>
      <c r="L498" s="135" t="s">
        <v>1025</v>
      </c>
      <c r="M498" s="135" t="s">
        <v>1025</v>
      </c>
      <c r="O498" s="34" t="s">
        <v>1502</v>
      </c>
      <c r="P498" s="34" t="s">
        <v>243</v>
      </c>
      <c r="Q498" s="83">
        <v>2025</v>
      </c>
    </row>
    <row r="499" spans="1:17" ht="15" x14ac:dyDescent="0.2">
      <c r="A499" s="83"/>
      <c r="B499" s="83" t="s">
        <v>264</v>
      </c>
      <c r="C499" s="133" t="s">
        <v>610</v>
      </c>
      <c r="D499" s="134" t="s">
        <v>263</v>
      </c>
      <c r="E499" s="83" t="s">
        <v>264</v>
      </c>
      <c r="F499" s="83" t="s">
        <v>265</v>
      </c>
      <c r="G499" s="135" t="s">
        <v>266</v>
      </c>
      <c r="H499" s="83" t="s">
        <v>267</v>
      </c>
      <c r="I499" s="135" t="s">
        <v>1026</v>
      </c>
      <c r="K499" s="137" t="s">
        <v>1397</v>
      </c>
      <c r="L499" s="135" t="s">
        <v>1026</v>
      </c>
      <c r="M499" s="135" t="s">
        <v>1026</v>
      </c>
      <c r="O499" s="34" t="s">
        <v>1502</v>
      </c>
      <c r="P499" s="34" t="s">
        <v>243</v>
      </c>
      <c r="Q499" s="83">
        <v>2025</v>
      </c>
    </row>
    <row r="500" spans="1:17" ht="15" x14ac:dyDescent="0.2">
      <c r="A500" s="83"/>
      <c r="B500" s="83" t="s">
        <v>264</v>
      </c>
      <c r="C500" s="133" t="s">
        <v>611</v>
      </c>
      <c r="D500" s="134" t="s">
        <v>263</v>
      </c>
      <c r="E500" s="83" t="s">
        <v>264</v>
      </c>
      <c r="F500" s="83" t="s">
        <v>265</v>
      </c>
      <c r="G500" s="135" t="s">
        <v>266</v>
      </c>
      <c r="H500" s="83" t="s">
        <v>267</v>
      </c>
      <c r="I500" s="135" t="s">
        <v>1026</v>
      </c>
      <c r="K500" s="137" t="s">
        <v>1398</v>
      </c>
      <c r="L500" s="135" t="s">
        <v>1026</v>
      </c>
      <c r="M500" s="135" t="s">
        <v>1026</v>
      </c>
      <c r="O500" s="34" t="s">
        <v>1502</v>
      </c>
      <c r="P500" s="34" t="s">
        <v>243</v>
      </c>
      <c r="Q500" s="83">
        <v>2025</v>
      </c>
    </row>
    <row r="501" spans="1:17" ht="15" x14ac:dyDescent="0.2">
      <c r="A501" s="83"/>
      <c r="B501" s="83" t="s">
        <v>264</v>
      </c>
      <c r="C501" s="133" t="s">
        <v>612</v>
      </c>
      <c r="D501" s="134" t="s">
        <v>263</v>
      </c>
      <c r="E501" s="83" t="s">
        <v>264</v>
      </c>
      <c r="F501" s="83" t="s">
        <v>265</v>
      </c>
      <c r="G501" s="135" t="s">
        <v>266</v>
      </c>
      <c r="H501" s="83" t="s">
        <v>267</v>
      </c>
      <c r="I501" s="135" t="s">
        <v>1026</v>
      </c>
      <c r="K501" s="137" t="s">
        <v>1399</v>
      </c>
      <c r="L501" s="135" t="s">
        <v>1026</v>
      </c>
      <c r="M501" s="135" t="s">
        <v>1026</v>
      </c>
      <c r="O501" s="34" t="s">
        <v>1502</v>
      </c>
      <c r="P501" s="34" t="s">
        <v>243</v>
      </c>
      <c r="Q501" s="83">
        <v>2025</v>
      </c>
    </row>
    <row r="502" spans="1:17" ht="15" x14ac:dyDescent="0.2">
      <c r="A502" s="83"/>
      <c r="B502" s="83" t="s">
        <v>264</v>
      </c>
      <c r="C502" s="133" t="s">
        <v>613</v>
      </c>
      <c r="D502" s="134" t="s">
        <v>263</v>
      </c>
      <c r="E502" s="83" t="s">
        <v>264</v>
      </c>
      <c r="F502" s="83" t="s">
        <v>265</v>
      </c>
      <c r="G502" s="135" t="s">
        <v>269</v>
      </c>
      <c r="H502" s="83" t="s">
        <v>267</v>
      </c>
      <c r="I502" s="135" t="s">
        <v>1027</v>
      </c>
      <c r="K502" s="137" t="s">
        <v>1400</v>
      </c>
      <c r="L502" s="135" t="s">
        <v>1027</v>
      </c>
      <c r="M502" s="135" t="s">
        <v>1027</v>
      </c>
      <c r="O502" s="34" t="s">
        <v>1502</v>
      </c>
      <c r="P502" s="34" t="s">
        <v>243</v>
      </c>
      <c r="Q502" s="83">
        <v>2025</v>
      </c>
    </row>
    <row r="503" spans="1:17" ht="15" x14ac:dyDescent="0.2">
      <c r="A503" s="83"/>
      <c r="B503" s="83" t="s">
        <v>264</v>
      </c>
      <c r="C503" s="133" t="s">
        <v>614</v>
      </c>
      <c r="D503" s="134" t="s">
        <v>263</v>
      </c>
      <c r="E503" s="83" t="s">
        <v>264</v>
      </c>
      <c r="F503" s="83" t="s">
        <v>265</v>
      </c>
      <c r="G503" s="135" t="s">
        <v>269</v>
      </c>
      <c r="H503" s="83" t="s">
        <v>267</v>
      </c>
      <c r="I503" s="135" t="s">
        <v>1027</v>
      </c>
      <c r="K503" s="137" t="s">
        <v>1401</v>
      </c>
      <c r="L503" s="135" t="s">
        <v>1027</v>
      </c>
      <c r="M503" s="135" t="s">
        <v>1027</v>
      </c>
      <c r="O503" s="34" t="s">
        <v>1502</v>
      </c>
      <c r="P503" s="34" t="s">
        <v>243</v>
      </c>
      <c r="Q503" s="83">
        <v>2025</v>
      </c>
    </row>
    <row r="504" spans="1:17" ht="15" x14ac:dyDescent="0.2">
      <c r="A504" s="83"/>
      <c r="B504" s="83" t="s">
        <v>264</v>
      </c>
      <c r="C504" s="133" t="s">
        <v>615</v>
      </c>
      <c r="D504" s="134" t="s">
        <v>263</v>
      </c>
      <c r="E504" s="83" t="s">
        <v>264</v>
      </c>
      <c r="F504" s="83" t="s">
        <v>265</v>
      </c>
      <c r="G504" s="135" t="s">
        <v>269</v>
      </c>
      <c r="H504" s="83" t="s">
        <v>267</v>
      </c>
      <c r="I504" s="135" t="s">
        <v>1027</v>
      </c>
      <c r="K504" s="137" t="s">
        <v>1402</v>
      </c>
      <c r="L504" s="135" t="s">
        <v>1027</v>
      </c>
      <c r="M504" s="135" t="s">
        <v>1027</v>
      </c>
      <c r="O504" s="34" t="s">
        <v>1502</v>
      </c>
      <c r="P504" s="34" t="s">
        <v>243</v>
      </c>
      <c r="Q504" s="83">
        <v>2025</v>
      </c>
    </row>
    <row r="505" spans="1:17" ht="15" x14ac:dyDescent="0.2">
      <c r="A505" s="83"/>
      <c r="B505" s="83" t="s">
        <v>264</v>
      </c>
      <c r="C505" s="133" t="s">
        <v>616</v>
      </c>
      <c r="D505" s="134" t="s">
        <v>263</v>
      </c>
      <c r="E505" s="83" t="s">
        <v>264</v>
      </c>
      <c r="F505" s="83" t="s">
        <v>265</v>
      </c>
      <c r="G505" s="135" t="s">
        <v>269</v>
      </c>
      <c r="H505" s="83" t="s">
        <v>267</v>
      </c>
      <c r="I505" s="135" t="s">
        <v>1028</v>
      </c>
      <c r="K505" s="137" t="s">
        <v>1403</v>
      </c>
      <c r="L505" s="135" t="s">
        <v>1028</v>
      </c>
      <c r="M505" s="135" t="s">
        <v>1028</v>
      </c>
      <c r="O505" s="34" t="s">
        <v>1502</v>
      </c>
      <c r="P505" s="34" t="s">
        <v>243</v>
      </c>
      <c r="Q505" s="83">
        <v>2025</v>
      </c>
    </row>
    <row r="506" spans="1:17" ht="15" x14ac:dyDescent="0.2">
      <c r="A506" s="83"/>
      <c r="B506" s="83" t="s">
        <v>264</v>
      </c>
      <c r="C506" s="133" t="s">
        <v>617</v>
      </c>
      <c r="D506" s="134" t="s">
        <v>263</v>
      </c>
      <c r="E506" s="83" t="s">
        <v>264</v>
      </c>
      <c r="F506" s="83" t="s">
        <v>265</v>
      </c>
      <c r="G506" s="135" t="s">
        <v>269</v>
      </c>
      <c r="H506" s="83" t="s">
        <v>267</v>
      </c>
      <c r="I506" s="135" t="s">
        <v>1028</v>
      </c>
      <c r="K506" s="137" t="s">
        <v>1404</v>
      </c>
      <c r="L506" s="135" t="s">
        <v>1028</v>
      </c>
      <c r="M506" s="135" t="s">
        <v>1028</v>
      </c>
      <c r="O506" s="34" t="s">
        <v>1502</v>
      </c>
      <c r="P506" s="34" t="s">
        <v>243</v>
      </c>
      <c r="Q506" s="83">
        <v>2025</v>
      </c>
    </row>
    <row r="507" spans="1:17" ht="15" x14ac:dyDescent="0.2">
      <c r="A507" s="83"/>
      <c r="B507" s="83" t="s">
        <v>264</v>
      </c>
      <c r="C507" s="133" t="s">
        <v>618</v>
      </c>
      <c r="D507" s="134" t="s">
        <v>263</v>
      </c>
      <c r="E507" s="83" t="s">
        <v>264</v>
      </c>
      <c r="F507" s="83" t="s">
        <v>265</v>
      </c>
      <c r="G507" s="135" t="s">
        <v>269</v>
      </c>
      <c r="H507" s="83" t="s">
        <v>267</v>
      </c>
      <c r="I507" s="135" t="s">
        <v>1028</v>
      </c>
      <c r="K507" s="137" t="s">
        <v>1405</v>
      </c>
      <c r="L507" s="135" t="s">
        <v>1028</v>
      </c>
      <c r="M507" s="135" t="s">
        <v>1028</v>
      </c>
      <c r="O507" s="34" t="s">
        <v>1502</v>
      </c>
      <c r="P507" s="34" t="s">
        <v>243</v>
      </c>
      <c r="Q507" s="83">
        <v>2025</v>
      </c>
    </row>
    <row r="508" spans="1:17" ht="15" x14ac:dyDescent="0.2">
      <c r="A508" s="83"/>
      <c r="B508" s="83" t="s">
        <v>264</v>
      </c>
      <c r="C508" s="133" t="s">
        <v>619</v>
      </c>
      <c r="D508" s="134" t="s">
        <v>263</v>
      </c>
      <c r="E508" s="83" t="s">
        <v>264</v>
      </c>
      <c r="F508" s="83" t="s">
        <v>265</v>
      </c>
      <c r="G508" s="135" t="s">
        <v>266</v>
      </c>
      <c r="H508" s="83" t="s">
        <v>267</v>
      </c>
      <c r="I508" s="135" t="s">
        <v>1029</v>
      </c>
      <c r="K508" s="137" t="s">
        <v>1406</v>
      </c>
      <c r="L508" s="135" t="s">
        <v>1029</v>
      </c>
      <c r="M508" s="135" t="s">
        <v>1029</v>
      </c>
      <c r="O508" s="34" t="s">
        <v>1502</v>
      </c>
      <c r="P508" s="34" t="s">
        <v>243</v>
      </c>
      <c r="Q508" s="83">
        <v>2025</v>
      </c>
    </row>
    <row r="509" spans="1:17" ht="15" x14ac:dyDescent="0.2">
      <c r="A509" s="83"/>
      <c r="B509" s="83" t="s">
        <v>264</v>
      </c>
      <c r="C509" s="133" t="s">
        <v>620</v>
      </c>
      <c r="D509" s="134" t="s">
        <v>263</v>
      </c>
      <c r="E509" s="83" t="s">
        <v>264</v>
      </c>
      <c r="F509" s="83" t="s">
        <v>265</v>
      </c>
      <c r="G509" s="135" t="s">
        <v>266</v>
      </c>
      <c r="H509" s="83" t="s">
        <v>267</v>
      </c>
      <c r="I509" s="135" t="s">
        <v>1029</v>
      </c>
      <c r="K509" s="137" t="s">
        <v>1407</v>
      </c>
      <c r="L509" s="135" t="s">
        <v>1029</v>
      </c>
      <c r="M509" s="135" t="s">
        <v>1029</v>
      </c>
      <c r="O509" s="34" t="s">
        <v>1502</v>
      </c>
      <c r="P509" s="34" t="s">
        <v>243</v>
      </c>
      <c r="Q509" s="83">
        <v>2025</v>
      </c>
    </row>
    <row r="510" spans="1:17" ht="15" x14ac:dyDescent="0.2">
      <c r="A510" s="83"/>
      <c r="B510" s="83" t="s">
        <v>264</v>
      </c>
      <c r="C510" s="133" t="s">
        <v>621</v>
      </c>
      <c r="D510" s="134" t="s">
        <v>263</v>
      </c>
      <c r="E510" s="83" t="s">
        <v>264</v>
      </c>
      <c r="F510" s="83" t="s">
        <v>265</v>
      </c>
      <c r="G510" s="135" t="s">
        <v>266</v>
      </c>
      <c r="H510" s="83" t="s">
        <v>267</v>
      </c>
      <c r="I510" s="135" t="s">
        <v>1029</v>
      </c>
      <c r="K510" s="137" t="s">
        <v>1408</v>
      </c>
      <c r="L510" s="135" t="s">
        <v>1029</v>
      </c>
      <c r="M510" s="135" t="s">
        <v>1029</v>
      </c>
      <c r="O510" s="34" t="s">
        <v>1502</v>
      </c>
      <c r="P510" s="34" t="s">
        <v>243</v>
      </c>
      <c r="Q510" s="83">
        <v>2025</v>
      </c>
    </row>
    <row r="511" spans="1:17" ht="15" x14ac:dyDescent="0.2">
      <c r="A511" s="83"/>
      <c r="B511" s="83" t="s">
        <v>264</v>
      </c>
      <c r="C511" s="133" t="s">
        <v>622</v>
      </c>
      <c r="D511" s="134" t="s">
        <v>263</v>
      </c>
      <c r="E511" s="83" t="s">
        <v>264</v>
      </c>
      <c r="F511" s="83" t="s">
        <v>265</v>
      </c>
      <c r="G511" s="135" t="s">
        <v>266</v>
      </c>
      <c r="H511" s="83" t="s">
        <v>267</v>
      </c>
      <c r="I511" s="135" t="s">
        <v>1030</v>
      </c>
      <c r="K511" s="137" t="s">
        <v>1409</v>
      </c>
      <c r="L511" s="135" t="s">
        <v>1030</v>
      </c>
      <c r="M511" s="135" t="s">
        <v>1030</v>
      </c>
      <c r="O511" s="34" t="s">
        <v>1502</v>
      </c>
      <c r="P511" s="34" t="s">
        <v>243</v>
      </c>
      <c r="Q511" s="83">
        <v>2025</v>
      </c>
    </row>
    <row r="512" spans="1:17" ht="15" x14ac:dyDescent="0.2">
      <c r="A512" s="83"/>
      <c r="B512" s="83" t="s">
        <v>264</v>
      </c>
      <c r="C512" s="133" t="s">
        <v>623</v>
      </c>
      <c r="D512" s="134" t="s">
        <v>263</v>
      </c>
      <c r="E512" s="83" t="s">
        <v>264</v>
      </c>
      <c r="F512" s="83" t="s">
        <v>265</v>
      </c>
      <c r="G512" s="135" t="s">
        <v>269</v>
      </c>
      <c r="H512" s="83" t="s">
        <v>267</v>
      </c>
      <c r="I512" s="135" t="s">
        <v>1031</v>
      </c>
      <c r="K512" s="137" t="s">
        <v>1410</v>
      </c>
      <c r="L512" s="135" t="s">
        <v>1031</v>
      </c>
      <c r="M512" s="135" t="s">
        <v>1031</v>
      </c>
      <c r="O512" s="34" t="s">
        <v>1502</v>
      </c>
      <c r="P512" s="34" t="s">
        <v>243</v>
      </c>
      <c r="Q512" s="83">
        <v>2025</v>
      </c>
    </row>
    <row r="513" spans="1:17" ht="15" x14ac:dyDescent="0.2">
      <c r="A513" s="83"/>
      <c r="B513" s="83" t="s">
        <v>264</v>
      </c>
      <c r="C513" s="133" t="s">
        <v>624</v>
      </c>
      <c r="D513" s="134" t="s">
        <v>263</v>
      </c>
      <c r="E513" s="83" t="s">
        <v>264</v>
      </c>
      <c r="F513" s="83" t="s">
        <v>265</v>
      </c>
      <c r="G513" s="135" t="s">
        <v>269</v>
      </c>
      <c r="H513" s="83" t="s">
        <v>267</v>
      </c>
      <c r="I513" s="135" t="s">
        <v>1031</v>
      </c>
      <c r="K513" s="137" t="s">
        <v>1411</v>
      </c>
      <c r="L513" s="135" t="s">
        <v>1031</v>
      </c>
      <c r="M513" s="135" t="s">
        <v>1031</v>
      </c>
      <c r="O513" s="34" t="s">
        <v>1502</v>
      </c>
      <c r="P513" s="34" t="s">
        <v>243</v>
      </c>
      <c r="Q513" s="83">
        <v>2025</v>
      </c>
    </row>
    <row r="514" spans="1:17" ht="15" x14ac:dyDescent="0.2">
      <c r="A514" s="83"/>
      <c r="B514" s="83" t="s">
        <v>264</v>
      </c>
      <c r="C514" s="133" t="s">
        <v>625</v>
      </c>
      <c r="D514" s="134" t="s">
        <v>263</v>
      </c>
      <c r="E514" s="83" t="s">
        <v>264</v>
      </c>
      <c r="F514" s="83" t="s">
        <v>265</v>
      </c>
      <c r="G514" s="135" t="s">
        <v>269</v>
      </c>
      <c r="H514" s="83" t="s">
        <v>267</v>
      </c>
      <c r="I514" s="135" t="s">
        <v>1031</v>
      </c>
      <c r="K514" s="137" t="s">
        <v>1412</v>
      </c>
      <c r="L514" s="135" t="s">
        <v>1031</v>
      </c>
      <c r="M514" s="135" t="s">
        <v>1031</v>
      </c>
      <c r="O514" s="34" t="s">
        <v>1502</v>
      </c>
      <c r="P514" s="34" t="s">
        <v>243</v>
      </c>
      <c r="Q514" s="83">
        <v>2025</v>
      </c>
    </row>
    <row r="515" spans="1:17" ht="15" x14ac:dyDescent="0.2">
      <c r="A515" s="83"/>
      <c r="B515" s="83" t="s">
        <v>264</v>
      </c>
      <c r="C515" s="133" t="s">
        <v>626</v>
      </c>
      <c r="D515" s="134" t="s">
        <v>263</v>
      </c>
      <c r="E515" s="83" t="s">
        <v>264</v>
      </c>
      <c r="F515" s="83" t="s">
        <v>265</v>
      </c>
      <c r="G515" s="135" t="s">
        <v>266</v>
      </c>
      <c r="H515" s="83" t="s">
        <v>267</v>
      </c>
      <c r="I515" s="135" t="s">
        <v>1032</v>
      </c>
      <c r="K515" s="137" t="s">
        <v>1413</v>
      </c>
      <c r="L515" s="135" t="s">
        <v>1032</v>
      </c>
      <c r="M515" s="135" t="s">
        <v>1032</v>
      </c>
      <c r="O515" s="34" t="s">
        <v>1502</v>
      </c>
      <c r="P515" s="34" t="s">
        <v>243</v>
      </c>
      <c r="Q515" s="83">
        <v>2025</v>
      </c>
    </row>
    <row r="516" spans="1:17" ht="15" x14ac:dyDescent="0.2">
      <c r="A516" s="83"/>
      <c r="B516" s="83" t="s">
        <v>264</v>
      </c>
      <c r="C516" s="133" t="s">
        <v>627</v>
      </c>
      <c r="D516" s="134" t="s">
        <v>263</v>
      </c>
      <c r="E516" s="83" t="s">
        <v>264</v>
      </c>
      <c r="F516" s="83" t="s">
        <v>265</v>
      </c>
      <c r="G516" s="135" t="s">
        <v>266</v>
      </c>
      <c r="H516" s="83" t="s">
        <v>267</v>
      </c>
      <c r="I516" s="135" t="s">
        <v>1032</v>
      </c>
      <c r="K516" s="137" t="s">
        <v>1414</v>
      </c>
      <c r="L516" s="135" t="s">
        <v>1032</v>
      </c>
      <c r="M516" s="135" t="s">
        <v>1032</v>
      </c>
      <c r="O516" s="34" t="s">
        <v>1502</v>
      </c>
      <c r="P516" s="34" t="s">
        <v>243</v>
      </c>
      <c r="Q516" s="83">
        <v>2025</v>
      </c>
    </row>
    <row r="517" spans="1:17" ht="15" x14ac:dyDescent="0.2">
      <c r="A517" s="83"/>
      <c r="B517" s="83" t="s">
        <v>264</v>
      </c>
      <c r="C517" s="133" t="s">
        <v>628</v>
      </c>
      <c r="D517" s="134" t="s">
        <v>263</v>
      </c>
      <c r="E517" s="83" t="s">
        <v>264</v>
      </c>
      <c r="F517" s="83" t="s">
        <v>265</v>
      </c>
      <c r="G517" s="135" t="s">
        <v>266</v>
      </c>
      <c r="H517" s="83" t="s">
        <v>267</v>
      </c>
      <c r="I517" s="135" t="s">
        <v>1032</v>
      </c>
      <c r="K517" s="137" t="s">
        <v>1415</v>
      </c>
      <c r="L517" s="135" t="s">
        <v>1032</v>
      </c>
      <c r="M517" s="135" t="s">
        <v>1032</v>
      </c>
      <c r="O517" s="34" t="s">
        <v>1502</v>
      </c>
      <c r="P517" s="34" t="s">
        <v>243</v>
      </c>
      <c r="Q517" s="83">
        <v>2025</v>
      </c>
    </row>
    <row r="518" spans="1:17" ht="15" x14ac:dyDescent="0.2">
      <c r="A518" s="83"/>
      <c r="B518" s="83" t="s">
        <v>264</v>
      </c>
      <c r="C518" s="133" t="s">
        <v>629</v>
      </c>
      <c r="D518" s="134" t="s">
        <v>263</v>
      </c>
      <c r="E518" s="83" t="s">
        <v>264</v>
      </c>
      <c r="F518" s="83" t="s">
        <v>265</v>
      </c>
      <c r="G518" s="135" t="s">
        <v>269</v>
      </c>
      <c r="H518" s="83" t="s">
        <v>267</v>
      </c>
      <c r="I518" s="135" t="s">
        <v>1033</v>
      </c>
      <c r="K518" s="137" t="s">
        <v>1416</v>
      </c>
      <c r="L518" s="135" t="s">
        <v>1033</v>
      </c>
      <c r="M518" s="135" t="s">
        <v>1033</v>
      </c>
      <c r="O518" s="34" t="s">
        <v>1502</v>
      </c>
      <c r="P518" s="34" t="s">
        <v>243</v>
      </c>
      <c r="Q518" s="83">
        <v>2025</v>
      </c>
    </row>
    <row r="519" spans="1:17" ht="15" x14ac:dyDescent="0.2">
      <c r="A519" s="83"/>
      <c r="B519" s="83" t="s">
        <v>264</v>
      </c>
      <c r="C519" s="133" t="s">
        <v>630</v>
      </c>
      <c r="D519" s="134" t="s">
        <v>263</v>
      </c>
      <c r="E519" s="83" t="s">
        <v>264</v>
      </c>
      <c r="F519" s="83" t="s">
        <v>265</v>
      </c>
      <c r="G519" s="135" t="s">
        <v>269</v>
      </c>
      <c r="H519" s="83" t="s">
        <v>267</v>
      </c>
      <c r="I519" s="135" t="s">
        <v>1033</v>
      </c>
      <c r="K519" s="137" t="s">
        <v>1417</v>
      </c>
      <c r="L519" s="135" t="s">
        <v>1033</v>
      </c>
      <c r="M519" s="135" t="s">
        <v>1033</v>
      </c>
      <c r="O519" s="34" t="s">
        <v>1502</v>
      </c>
      <c r="P519" s="34" t="s">
        <v>243</v>
      </c>
      <c r="Q519" s="83">
        <v>2025</v>
      </c>
    </row>
    <row r="520" spans="1:17" ht="15" x14ac:dyDescent="0.2">
      <c r="A520" s="83"/>
      <c r="B520" s="83" t="s">
        <v>264</v>
      </c>
      <c r="C520" s="133" t="s">
        <v>631</v>
      </c>
      <c r="D520" s="134" t="s">
        <v>263</v>
      </c>
      <c r="E520" s="83" t="s">
        <v>264</v>
      </c>
      <c r="F520" s="83" t="s">
        <v>265</v>
      </c>
      <c r="G520" s="135" t="s">
        <v>269</v>
      </c>
      <c r="H520" s="83" t="s">
        <v>267</v>
      </c>
      <c r="I520" s="135" t="s">
        <v>1033</v>
      </c>
      <c r="K520" s="137" t="s">
        <v>1418</v>
      </c>
      <c r="L520" s="135" t="s">
        <v>1033</v>
      </c>
      <c r="M520" s="135" t="s">
        <v>1033</v>
      </c>
      <c r="O520" s="34" t="s">
        <v>1502</v>
      </c>
      <c r="P520" s="34" t="s">
        <v>243</v>
      </c>
      <c r="Q520" s="83">
        <v>2025</v>
      </c>
    </row>
    <row r="521" spans="1:17" ht="15" x14ac:dyDescent="0.2">
      <c r="A521" s="83"/>
      <c r="B521" s="83" t="s">
        <v>264</v>
      </c>
      <c r="C521" s="133" t="s">
        <v>632</v>
      </c>
      <c r="D521" s="134" t="s">
        <v>263</v>
      </c>
      <c r="E521" s="83" t="s">
        <v>264</v>
      </c>
      <c r="F521" s="83" t="s">
        <v>265</v>
      </c>
      <c r="G521" s="135" t="s">
        <v>266</v>
      </c>
      <c r="H521" s="83" t="s">
        <v>267</v>
      </c>
      <c r="I521" s="135" t="s">
        <v>1034</v>
      </c>
      <c r="K521" s="137" t="s">
        <v>1419</v>
      </c>
      <c r="L521" s="135" t="s">
        <v>1034</v>
      </c>
      <c r="M521" s="135" t="s">
        <v>1034</v>
      </c>
      <c r="O521" s="34" t="s">
        <v>1502</v>
      </c>
      <c r="P521" s="34" t="s">
        <v>243</v>
      </c>
      <c r="Q521" s="83">
        <v>2025</v>
      </c>
    </row>
    <row r="522" spans="1:17" ht="15" x14ac:dyDescent="0.2">
      <c r="A522" s="83"/>
      <c r="B522" s="83" t="s">
        <v>264</v>
      </c>
      <c r="C522" s="133" t="s">
        <v>633</v>
      </c>
      <c r="D522" s="134" t="s">
        <v>263</v>
      </c>
      <c r="E522" s="83" t="s">
        <v>264</v>
      </c>
      <c r="F522" s="83" t="s">
        <v>265</v>
      </c>
      <c r="G522" s="135" t="s">
        <v>266</v>
      </c>
      <c r="H522" s="83" t="s">
        <v>267</v>
      </c>
      <c r="I522" s="135" t="s">
        <v>1034</v>
      </c>
      <c r="K522" s="137" t="s">
        <v>1420</v>
      </c>
      <c r="L522" s="135" t="s">
        <v>1034</v>
      </c>
      <c r="M522" s="135" t="s">
        <v>1034</v>
      </c>
      <c r="O522" s="34" t="s">
        <v>1502</v>
      </c>
      <c r="P522" s="34" t="s">
        <v>243</v>
      </c>
      <c r="Q522" s="83">
        <v>2025</v>
      </c>
    </row>
    <row r="523" spans="1:17" ht="15" x14ac:dyDescent="0.2">
      <c r="A523" s="83"/>
      <c r="B523" s="83" t="s">
        <v>264</v>
      </c>
      <c r="C523" s="133" t="s">
        <v>634</v>
      </c>
      <c r="D523" s="134" t="s">
        <v>263</v>
      </c>
      <c r="E523" s="83" t="s">
        <v>264</v>
      </c>
      <c r="F523" s="83" t="s">
        <v>265</v>
      </c>
      <c r="G523" s="135" t="s">
        <v>266</v>
      </c>
      <c r="H523" s="83" t="s">
        <v>267</v>
      </c>
      <c r="I523" s="135" t="s">
        <v>1034</v>
      </c>
      <c r="K523" s="137" t="s">
        <v>1421</v>
      </c>
      <c r="L523" s="135" t="s">
        <v>1034</v>
      </c>
      <c r="M523" s="135" t="s">
        <v>1034</v>
      </c>
      <c r="O523" s="34" t="s">
        <v>1502</v>
      </c>
      <c r="P523" s="34" t="s">
        <v>243</v>
      </c>
      <c r="Q523" s="83">
        <v>2025</v>
      </c>
    </row>
    <row r="524" spans="1:17" ht="15" x14ac:dyDescent="0.2">
      <c r="A524" s="83"/>
      <c r="B524" s="83" t="s">
        <v>264</v>
      </c>
      <c r="C524" s="133" t="s">
        <v>635</v>
      </c>
      <c r="D524" s="134" t="s">
        <v>263</v>
      </c>
      <c r="E524" s="83" t="s">
        <v>264</v>
      </c>
      <c r="F524" s="83" t="s">
        <v>265</v>
      </c>
      <c r="G524" s="135" t="s">
        <v>266</v>
      </c>
      <c r="H524" s="83" t="s">
        <v>267</v>
      </c>
      <c r="I524" s="135" t="s">
        <v>1035</v>
      </c>
      <c r="K524" s="137" t="s">
        <v>1422</v>
      </c>
      <c r="L524" s="135" t="s">
        <v>1035</v>
      </c>
      <c r="M524" s="135" t="s">
        <v>1035</v>
      </c>
      <c r="O524" s="34" t="s">
        <v>1502</v>
      </c>
      <c r="P524" s="34" t="s">
        <v>243</v>
      </c>
      <c r="Q524" s="83">
        <v>2025</v>
      </c>
    </row>
    <row r="525" spans="1:17" ht="15" x14ac:dyDescent="0.2">
      <c r="A525" s="83"/>
      <c r="B525" s="83" t="s">
        <v>264</v>
      </c>
      <c r="C525" s="133" t="s">
        <v>636</v>
      </c>
      <c r="D525" s="134" t="s">
        <v>263</v>
      </c>
      <c r="E525" s="83" t="s">
        <v>264</v>
      </c>
      <c r="F525" s="83" t="s">
        <v>265</v>
      </c>
      <c r="G525" s="135" t="s">
        <v>266</v>
      </c>
      <c r="H525" s="83" t="s">
        <v>267</v>
      </c>
      <c r="I525" s="135" t="s">
        <v>1035</v>
      </c>
      <c r="K525" s="137" t="s">
        <v>1423</v>
      </c>
      <c r="L525" s="135" t="s">
        <v>1035</v>
      </c>
      <c r="M525" s="135" t="s">
        <v>1035</v>
      </c>
      <c r="O525" s="34" t="s">
        <v>1502</v>
      </c>
      <c r="P525" s="34" t="s">
        <v>243</v>
      </c>
      <c r="Q525" s="83">
        <v>2025</v>
      </c>
    </row>
    <row r="526" spans="1:17" ht="15" x14ac:dyDescent="0.2">
      <c r="A526" s="83"/>
      <c r="B526" s="83" t="s">
        <v>264</v>
      </c>
      <c r="C526" s="133" t="s">
        <v>637</v>
      </c>
      <c r="D526" s="134" t="s">
        <v>263</v>
      </c>
      <c r="E526" s="83" t="s">
        <v>264</v>
      </c>
      <c r="F526" s="83" t="s">
        <v>265</v>
      </c>
      <c r="G526" s="135" t="s">
        <v>266</v>
      </c>
      <c r="H526" s="83" t="s">
        <v>267</v>
      </c>
      <c r="I526" s="135" t="s">
        <v>1035</v>
      </c>
      <c r="K526" s="137" t="s">
        <v>1424</v>
      </c>
      <c r="L526" s="135" t="s">
        <v>1035</v>
      </c>
      <c r="M526" s="135" t="s">
        <v>1035</v>
      </c>
      <c r="O526" s="34" t="s">
        <v>1502</v>
      </c>
      <c r="P526" s="34" t="s">
        <v>243</v>
      </c>
      <c r="Q526" s="83">
        <v>2025</v>
      </c>
    </row>
    <row r="527" spans="1:17" ht="15" x14ac:dyDescent="0.2">
      <c r="A527" s="83"/>
      <c r="B527" s="83" t="s">
        <v>264</v>
      </c>
      <c r="C527" s="133" t="s">
        <v>638</v>
      </c>
      <c r="D527" s="134" t="s">
        <v>263</v>
      </c>
      <c r="E527" s="83" t="s">
        <v>264</v>
      </c>
      <c r="F527" s="83" t="s">
        <v>265</v>
      </c>
      <c r="G527" s="135" t="s">
        <v>266</v>
      </c>
      <c r="H527" s="83" t="s">
        <v>267</v>
      </c>
      <c r="I527" s="135" t="s">
        <v>1036</v>
      </c>
      <c r="K527" s="137" t="s">
        <v>1425</v>
      </c>
      <c r="L527" s="135" t="s">
        <v>1036</v>
      </c>
      <c r="M527" s="135" t="s">
        <v>1036</v>
      </c>
      <c r="O527" s="34" t="s">
        <v>1502</v>
      </c>
      <c r="P527" s="34" t="s">
        <v>243</v>
      </c>
      <c r="Q527" s="83">
        <v>2025</v>
      </c>
    </row>
    <row r="528" spans="1:17" ht="15" x14ac:dyDescent="0.2">
      <c r="A528" s="83"/>
      <c r="B528" s="83" t="s">
        <v>264</v>
      </c>
      <c r="C528" s="133" t="s">
        <v>639</v>
      </c>
      <c r="D528" s="134" t="s">
        <v>263</v>
      </c>
      <c r="E528" s="83" t="s">
        <v>264</v>
      </c>
      <c r="F528" s="83" t="s">
        <v>265</v>
      </c>
      <c r="G528" s="135" t="s">
        <v>266</v>
      </c>
      <c r="H528" s="83" t="s">
        <v>267</v>
      </c>
      <c r="I528" s="135" t="s">
        <v>1036</v>
      </c>
      <c r="K528" s="137" t="s">
        <v>1426</v>
      </c>
      <c r="L528" s="135" t="s">
        <v>1036</v>
      </c>
      <c r="M528" s="135" t="s">
        <v>1036</v>
      </c>
      <c r="O528" s="34" t="s">
        <v>1502</v>
      </c>
      <c r="P528" s="34" t="s">
        <v>243</v>
      </c>
      <c r="Q528" s="83">
        <v>2025</v>
      </c>
    </row>
    <row r="529" spans="1:17" ht="15" x14ac:dyDescent="0.2">
      <c r="A529" s="83"/>
      <c r="B529" s="83" t="s">
        <v>264</v>
      </c>
      <c r="C529" s="133" t="s">
        <v>640</v>
      </c>
      <c r="D529" s="134" t="s">
        <v>263</v>
      </c>
      <c r="E529" s="83" t="s">
        <v>264</v>
      </c>
      <c r="F529" s="83" t="s">
        <v>265</v>
      </c>
      <c r="G529" s="135" t="s">
        <v>266</v>
      </c>
      <c r="H529" s="83" t="s">
        <v>267</v>
      </c>
      <c r="I529" s="135" t="s">
        <v>1036</v>
      </c>
      <c r="K529" s="137" t="s">
        <v>1427</v>
      </c>
      <c r="L529" s="135" t="s">
        <v>1036</v>
      </c>
      <c r="M529" s="135" t="s">
        <v>1036</v>
      </c>
      <c r="O529" s="34" t="s">
        <v>1502</v>
      </c>
      <c r="P529" s="34" t="s">
        <v>243</v>
      </c>
      <c r="Q529" s="83">
        <v>2025</v>
      </c>
    </row>
    <row r="530" spans="1:17" ht="15" x14ac:dyDescent="0.2">
      <c r="A530" s="83"/>
      <c r="B530" s="83" t="s">
        <v>264</v>
      </c>
      <c r="C530" s="133" t="s">
        <v>641</v>
      </c>
      <c r="D530" s="134" t="s">
        <v>263</v>
      </c>
      <c r="E530" s="83" t="s">
        <v>264</v>
      </c>
      <c r="F530" s="83" t="s">
        <v>265</v>
      </c>
      <c r="G530" s="135" t="s">
        <v>266</v>
      </c>
      <c r="H530" s="83" t="s">
        <v>267</v>
      </c>
      <c r="I530" s="135" t="s">
        <v>1037</v>
      </c>
      <c r="K530" s="137" t="s">
        <v>1428</v>
      </c>
      <c r="L530" s="135" t="s">
        <v>1037</v>
      </c>
      <c r="M530" s="135" t="s">
        <v>1037</v>
      </c>
      <c r="O530" s="34" t="s">
        <v>1502</v>
      </c>
      <c r="P530" s="34" t="s">
        <v>243</v>
      </c>
      <c r="Q530" s="83">
        <v>2025</v>
      </c>
    </row>
    <row r="531" spans="1:17" ht="15" x14ac:dyDescent="0.2">
      <c r="A531" s="83"/>
      <c r="B531" s="83" t="s">
        <v>264</v>
      </c>
      <c r="C531" s="133" t="s">
        <v>642</v>
      </c>
      <c r="D531" s="134" t="s">
        <v>263</v>
      </c>
      <c r="E531" s="83" t="s">
        <v>264</v>
      </c>
      <c r="F531" s="83" t="s">
        <v>265</v>
      </c>
      <c r="G531" s="135" t="s">
        <v>266</v>
      </c>
      <c r="H531" s="83" t="s">
        <v>267</v>
      </c>
      <c r="I531" s="135" t="s">
        <v>1038</v>
      </c>
      <c r="K531" s="137" t="s">
        <v>1429</v>
      </c>
      <c r="L531" s="135" t="s">
        <v>1038</v>
      </c>
      <c r="M531" s="135" t="s">
        <v>1038</v>
      </c>
      <c r="O531" s="34" t="s">
        <v>1502</v>
      </c>
      <c r="P531" s="34" t="s">
        <v>243</v>
      </c>
      <c r="Q531" s="83">
        <v>2025</v>
      </c>
    </row>
    <row r="532" spans="1:17" ht="15" x14ac:dyDescent="0.2">
      <c r="A532" s="83"/>
      <c r="B532" s="83" t="s">
        <v>264</v>
      </c>
      <c r="C532" s="133" t="s">
        <v>643</v>
      </c>
      <c r="D532" s="134" t="s">
        <v>263</v>
      </c>
      <c r="E532" s="83" t="s">
        <v>264</v>
      </c>
      <c r="F532" s="83" t="s">
        <v>265</v>
      </c>
      <c r="G532" s="135" t="s">
        <v>266</v>
      </c>
      <c r="H532" s="83" t="s">
        <v>267</v>
      </c>
      <c r="I532" s="135" t="s">
        <v>1038</v>
      </c>
      <c r="K532" s="137" t="s">
        <v>1430</v>
      </c>
      <c r="L532" s="135" t="s">
        <v>1038</v>
      </c>
      <c r="M532" s="135" t="s">
        <v>1038</v>
      </c>
      <c r="O532" s="34" t="s">
        <v>1502</v>
      </c>
      <c r="P532" s="34" t="s">
        <v>243</v>
      </c>
      <c r="Q532" s="83">
        <v>2025</v>
      </c>
    </row>
    <row r="533" spans="1:17" ht="15" x14ac:dyDescent="0.2">
      <c r="A533" s="83"/>
      <c r="B533" s="83" t="s">
        <v>264</v>
      </c>
      <c r="C533" s="133" t="s">
        <v>644</v>
      </c>
      <c r="D533" s="134" t="s">
        <v>263</v>
      </c>
      <c r="E533" s="83" t="s">
        <v>264</v>
      </c>
      <c r="F533" s="83" t="s">
        <v>265</v>
      </c>
      <c r="G533" s="135" t="s">
        <v>266</v>
      </c>
      <c r="H533" s="83" t="s">
        <v>267</v>
      </c>
      <c r="I533" s="135" t="s">
        <v>1038</v>
      </c>
      <c r="K533" s="137" t="s">
        <v>1431</v>
      </c>
      <c r="L533" s="135" t="s">
        <v>1038</v>
      </c>
      <c r="M533" s="135" t="s">
        <v>1038</v>
      </c>
      <c r="O533" s="34" t="s">
        <v>1502</v>
      </c>
      <c r="P533" s="34" t="s">
        <v>243</v>
      </c>
      <c r="Q533" s="83">
        <v>2025</v>
      </c>
    </row>
    <row r="534" spans="1:17" ht="15" x14ac:dyDescent="0.2">
      <c r="A534" s="83"/>
      <c r="B534" s="83" t="s">
        <v>264</v>
      </c>
      <c r="C534" s="133" t="s">
        <v>645</v>
      </c>
      <c r="D534" s="134" t="s">
        <v>263</v>
      </c>
      <c r="E534" s="83" t="s">
        <v>264</v>
      </c>
      <c r="F534" s="83" t="s">
        <v>265</v>
      </c>
      <c r="G534" s="135" t="s">
        <v>266</v>
      </c>
      <c r="H534" s="83" t="s">
        <v>267</v>
      </c>
      <c r="I534" s="135" t="s">
        <v>1039</v>
      </c>
      <c r="K534" s="137" t="s">
        <v>1432</v>
      </c>
      <c r="L534" s="135" t="s">
        <v>1039</v>
      </c>
      <c r="M534" s="135" t="s">
        <v>1039</v>
      </c>
      <c r="O534" s="34" t="s">
        <v>1502</v>
      </c>
      <c r="P534" s="34" t="s">
        <v>243</v>
      </c>
      <c r="Q534" s="83">
        <v>2025</v>
      </c>
    </row>
    <row r="535" spans="1:17" ht="15" x14ac:dyDescent="0.2">
      <c r="A535" s="83"/>
      <c r="B535" s="83" t="s">
        <v>264</v>
      </c>
      <c r="C535" s="133" t="s">
        <v>646</v>
      </c>
      <c r="D535" s="134" t="s">
        <v>263</v>
      </c>
      <c r="E535" s="83" t="s">
        <v>264</v>
      </c>
      <c r="F535" s="83" t="s">
        <v>265</v>
      </c>
      <c r="G535" s="135" t="s">
        <v>266</v>
      </c>
      <c r="H535" s="83" t="s">
        <v>267</v>
      </c>
      <c r="I535" s="135" t="s">
        <v>1039</v>
      </c>
      <c r="K535" s="137" t="s">
        <v>1433</v>
      </c>
      <c r="L535" s="135" t="s">
        <v>1039</v>
      </c>
      <c r="M535" s="135" t="s">
        <v>1039</v>
      </c>
      <c r="O535" s="34" t="s">
        <v>1502</v>
      </c>
      <c r="P535" s="34" t="s">
        <v>243</v>
      </c>
      <c r="Q535" s="83">
        <v>2025</v>
      </c>
    </row>
    <row r="536" spans="1:17" ht="15" x14ac:dyDescent="0.2">
      <c r="A536" s="83"/>
      <c r="B536" s="83" t="s">
        <v>264</v>
      </c>
      <c r="C536" s="133" t="s">
        <v>647</v>
      </c>
      <c r="D536" s="134" t="s">
        <v>263</v>
      </c>
      <c r="E536" s="83" t="s">
        <v>264</v>
      </c>
      <c r="F536" s="83" t="s">
        <v>265</v>
      </c>
      <c r="G536" s="135" t="s">
        <v>266</v>
      </c>
      <c r="H536" s="83" t="s">
        <v>267</v>
      </c>
      <c r="I536" s="135" t="s">
        <v>1039</v>
      </c>
      <c r="K536" s="137" t="s">
        <v>1434</v>
      </c>
      <c r="L536" s="135" t="s">
        <v>1039</v>
      </c>
      <c r="M536" s="135" t="s">
        <v>1039</v>
      </c>
      <c r="O536" s="34" t="s">
        <v>1502</v>
      </c>
      <c r="P536" s="34" t="s">
        <v>243</v>
      </c>
      <c r="Q536" s="83">
        <v>2025</v>
      </c>
    </row>
    <row r="537" spans="1:17" ht="15" x14ac:dyDescent="0.2">
      <c r="A537" s="83"/>
      <c r="B537" s="83" t="s">
        <v>264</v>
      </c>
      <c r="C537" s="133" t="s">
        <v>648</v>
      </c>
      <c r="D537" s="134" t="s">
        <v>263</v>
      </c>
      <c r="E537" s="83" t="s">
        <v>264</v>
      </c>
      <c r="F537" s="83" t="s">
        <v>265</v>
      </c>
      <c r="G537" s="135" t="s">
        <v>269</v>
      </c>
      <c r="H537" s="83" t="s">
        <v>267</v>
      </c>
      <c r="I537" s="135" t="s">
        <v>1040</v>
      </c>
      <c r="K537" s="137" t="s">
        <v>1435</v>
      </c>
      <c r="L537" s="135" t="s">
        <v>1040</v>
      </c>
      <c r="M537" s="135" t="s">
        <v>1040</v>
      </c>
      <c r="O537" s="34" t="s">
        <v>1502</v>
      </c>
      <c r="P537" s="34" t="s">
        <v>243</v>
      </c>
      <c r="Q537" s="83">
        <v>2025</v>
      </c>
    </row>
    <row r="538" spans="1:17" ht="15" x14ac:dyDescent="0.2">
      <c r="A538" s="83"/>
      <c r="B538" s="83" t="s">
        <v>264</v>
      </c>
      <c r="C538" s="133" t="s">
        <v>649</v>
      </c>
      <c r="D538" s="134" t="s">
        <v>263</v>
      </c>
      <c r="E538" s="83" t="s">
        <v>264</v>
      </c>
      <c r="F538" s="83" t="s">
        <v>265</v>
      </c>
      <c r="G538" s="135" t="s">
        <v>269</v>
      </c>
      <c r="H538" s="83" t="s">
        <v>267</v>
      </c>
      <c r="I538" s="135" t="s">
        <v>1040</v>
      </c>
      <c r="K538" s="137" t="s">
        <v>1436</v>
      </c>
      <c r="L538" s="135" t="s">
        <v>1040</v>
      </c>
      <c r="M538" s="135" t="s">
        <v>1040</v>
      </c>
      <c r="O538" s="34" t="s">
        <v>1502</v>
      </c>
      <c r="P538" s="34" t="s">
        <v>243</v>
      </c>
      <c r="Q538" s="83">
        <v>2025</v>
      </c>
    </row>
    <row r="539" spans="1:17" ht="15" x14ac:dyDescent="0.2">
      <c r="A539" s="83"/>
      <c r="B539" s="83" t="s">
        <v>264</v>
      </c>
      <c r="C539" s="133" t="s">
        <v>650</v>
      </c>
      <c r="D539" s="134" t="s">
        <v>263</v>
      </c>
      <c r="E539" s="83" t="s">
        <v>264</v>
      </c>
      <c r="F539" s="83" t="s">
        <v>265</v>
      </c>
      <c r="G539" s="135" t="s">
        <v>269</v>
      </c>
      <c r="H539" s="83" t="s">
        <v>267</v>
      </c>
      <c r="I539" s="135" t="s">
        <v>1040</v>
      </c>
      <c r="K539" s="137" t="s">
        <v>1437</v>
      </c>
      <c r="L539" s="135" t="s">
        <v>1040</v>
      </c>
      <c r="M539" s="135" t="s">
        <v>1040</v>
      </c>
      <c r="O539" s="34" t="s">
        <v>1502</v>
      </c>
      <c r="P539" s="34" t="s">
        <v>243</v>
      </c>
      <c r="Q539" s="83">
        <v>2025</v>
      </c>
    </row>
    <row r="540" spans="1:17" ht="15" x14ac:dyDescent="0.2">
      <c r="A540" s="83"/>
      <c r="B540" s="83" t="s">
        <v>264</v>
      </c>
      <c r="C540" s="133" t="s">
        <v>651</v>
      </c>
      <c r="D540" s="134" t="s">
        <v>263</v>
      </c>
      <c r="E540" s="83" t="s">
        <v>264</v>
      </c>
      <c r="F540" s="83" t="s">
        <v>265</v>
      </c>
      <c r="G540" s="135" t="s">
        <v>269</v>
      </c>
      <c r="H540" s="83" t="s">
        <v>267</v>
      </c>
      <c r="I540" s="135" t="s">
        <v>1041</v>
      </c>
      <c r="K540" s="137" t="s">
        <v>1438</v>
      </c>
      <c r="L540" s="135" t="s">
        <v>1041</v>
      </c>
      <c r="M540" s="135" t="s">
        <v>1041</v>
      </c>
      <c r="O540" s="34" t="s">
        <v>1502</v>
      </c>
      <c r="P540" s="34" t="s">
        <v>243</v>
      </c>
      <c r="Q540" s="83">
        <v>2025</v>
      </c>
    </row>
    <row r="541" spans="1:17" ht="15" x14ac:dyDescent="0.2">
      <c r="A541" s="83"/>
      <c r="B541" s="83" t="s">
        <v>264</v>
      </c>
      <c r="C541" s="133" t="s">
        <v>652</v>
      </c>
      <c r="D541" s="134" t="s">
        <v>263</v>
      </c>
      <c r="E541" s="83" t="s">
        <v>264</v>
      </c>
      <c r="F541" s="83" t="s">
        <v>265</v>
      </c>
      <c r="G541" s="135" t="s">
        <v>269</v>
      </c>
      <c r="H541" s="83" t="s">
        <v>267</v>
      </c>
      <c r="I541" s="135" t="s">
        <v>1041</v>
      </c>
      <c r="K541" s="137" t="s">
        <v>1439</v>
      </c>
      <c r="L541" s="135" t="s">
        <v>1041</v>
      </c>
      <c r="M541" s="135" t="s">
        <v>1041</v>
      </c>
      <c r="O541" s="34" t="s">
        <v>1502</v>
      </c>
      <c r="P541" s="34" t="s">
        <v>243</v>
      </c>
      <c r="Q541" s="83">
        <v>2025</v>
      </c>
    </row>
    <row r="542" spans="1:17" ht="15" x14ac:dyDescent="0.2">
      <c r="A542" s="83"/>
      <c r="B542" s="83" t="s">
        <v>264</v>
      </c>
      <c r="C542" s="133" t="s">
        <v>653</v>
      </c>
      <c r="D542" s="134" t="s">
        <v>263</v>
      </c>
      <c r="E542" s="83" t="s">
        <v>264</v>
      </c>
      <c r="F542" s="83" t="s">
        <v>265</v>
      </c>
      <c r="G542" s="135" t="s">
        <v>269</v>
      </c>
      <c r="H542" s="83" t="s">
        <v>267</v>
      </c>
      <c r="I542" s="135" t="s">
        <v>1041</v>
      </c>
      <c r="K542" s="137" t="s">
        <v>1440</v>
      </c>
      <c r="L542" s="135" t="s">
        <v>1041</v>
      </c>
      <c r="M542" s="135" t="s">
        <v>1041</v>
      </c>
      <c r="O542" s="34" t="s">
        <v>1502</v>
      </c>
      <c r="P542" s="34" t="s">
        <v>243</v>
      </c>
      <c r="Q542" s="83">
        <v>2025</v>
      </c>
    </row>
    <row r="543" spans="1:17" ht="15" x14ac:dyDescent="0.2">
      <c r="A543" s="83"/>
      <c r="B543" s="83" t="s">
        <v>264</v>
      </c>
      <c r="C543" s="133" t="s">
        <v>654</v>
      </c>
      <c r="D543" s="134" t="s">
        <v>263</v>
      </c>
      <c r="E543" s="83" t="s">
        <v>264</v>
      </c>
      <c r="F543" s="83" t="s">
        <v>265</v>
      </c>
      <c r="G543" s="135" t="s">
        <v>269</v>
      </c>
      <c r="H543" s="83" t="s">
        <v>267</v>
      </c>
      <c r="I543" s="135" t="s">
        <v>1042</v>
      </c>
      <c r="K543" s="137" t="s">
        <v>1441</v>
      </c>
      <c r="L543" s="135" t="s">
        <v>1042</v>
      </c>
      <c r="M543" s="135" t="s">
        <v>1042</v>
      </c>
      <c r="O543" s="34" t="s">
        <v>1502</v>
      </c>
      <c r="P543" s="34" t="s">
        <v>243</v>
      </c>
      <c r="Q543" s="83">
        <v>2025</v>
      </c>
    </row>
    <row r="544" spans="1:17" ht="15" x14ac:dyDescent="0.2">
      <c r="A544" s="83"/>
      <c r="B544" s="83" t="s">
        <v>264</v>
      </c>
      <c r="C544" s="133" t="s">
        <v>655</v>
      </c>
      <c r="D544" s="134" t="s">
        <v>263</v>
      </c>
      <c r="E544" s="83" t="s">
        <v>264</v>
      </c>
      <c r="F544" s="83" t="s">
        <v>265</v>
      </c>
      <c r="G544" s="135" t="s">
        <v>269</v>
      </c>
      <c r="H544" s="83" t="s">
        <v>267</v>
      </c>
      <c r="I544" s="135" t="s">
        <v>1042</v>
      </c>
      <c r="K544" s="137" t="s">
        <v>1442</v>
      </c>
      <c r="L544" s="135" t="s">
        <v>1042</v>
      </c>
      <c r="M544" s="135" t="s">
        <v>1042</v>
      </c>
      <c r="O544" s="34" t="s">
        <v>1502</v>
      </c>
      <c r="P544" s="34" t="s">
        <v>243</v>
      </c>
      <c r="Q544" s="83">
        <v>2025</v>
      </c>
    </row>
    <row r="545" spans="1:17" ht="15" x14ac:dyDescent="0.2">
      <c r="A545" s="83"/>
      <c r="B545" s="83" t="s">
        <v>264</v>
      </c>
      <c r="C545" s="133" t="s">
        <v>656</v>
      </c>
      <c r="D545" s="134" t="s">
        <v>263</v>
      </c>
      <c r="E545" s="83" t="s">
        <v>264</v>
      </c>
      <c r="F545" s="83" t="s">
        <v>265</v>
      </c>
      <c r="G545" s="135" t="s">
        <v>269</v>
      </c>
      <c r="H545" s="83" t="s">
        <v>267</v>
      </c>
      <c r="I545" s="135" t="s">
        <v>1042</v>
      </c>
      <c r="K545" s="137" t="s">
        <v>1443</v>
      </c>
      <c r="L545" s="135" t="s">
        <v>1042</v>
      </c>
      <c r="M545" s="135" t="s">
        <v>1042</v>
      </c>
      <c r="O545" s="34" t="s">
        <v>1502</v>
      </c>
      <c r="P545" s="34" t="s">
        <v>243</v>
      </c>
      <c r="Q545" s="83">
        <v>2025</v>
      </c>
    </row>
    <row r="546" spans="1:17" ht="15" x14ac:dyDescent="0.2">
      <c r="A546" s="83"/>
      <c r="B546" s="83" t="s">
        <v>264</v>
      </c>
      <c r="C546" s="133" t="s">
        <v>657</v>
      </c>
      <c r="D546" s="134" t="s">
        <v>263</v>
      </c>
      <c r="E546" s="83" t="s">
        <v>264</v>
      </c>
      <c r="F546" s="83" t="s">
        <v>265</v>
      </c>
      <c r="G546" s="135" t="s">
        <v>266</v>
      </c>
      <c r="H546" s="83" t="s">
        <v>267</v>
      </c>
      <c r="I546" s="135" t="s">
        <v>1043</v>
      </c>
      <c r="K546" s="137" t="s">
        <v>1444</v>
      </c>
      <c r="L546" s="135" t="s">
        <v>1043</v>
      </c>
      <c r="M546" s="135" t="s">
        <v>1043</v>
      </c>
      <c r="O546" s="34" t="s">
        <v>1502</v>
      </c>
      <c r="P546" s="34" t="s">
        <v>243</v>
      </c>
      <c r="Q546" s="83">
        <v>2025</v>
      </c>
    </row>
    <row r="547" spans="1:17" ht="15" x14ac:dyDescent="0.2">
      <c r="A547" s="83"/>
      <c r="B547" s="83" t="s">
        <v>264</v>
      </c>
      <c r="C547" s="133" t="s">
        <v>658</v>
      </c>
      <c r="D547" s="134" t="s">
        <v>263</v>
      </c>
      <c r="E547" s="83" t="s">
        <v>264</v>
      </c>
      <c r="F547" s="83" t="s">
        <v>265</v>
      </c>
      <c r="G547" s="135" t="s">
        <v>266</v>
      </c>
      <c r="H547" s="83" t="s">
        <v>267</v>
      </c>
      <c r="I547" s="135" t="s">
        <v>1043</v>
      </c>
      <c r="K547" s="137" t="s">
        <v>1445</v>
      </c>
      <c r="L547" s="135" t="s">
        <v>1043</v>
      </c>
      <c r="M547" s="135" t="s">
        <v>1043</v>
      </c>
      <c r="O547" s="34" t="s">
        <v>1502</v>
      </c>
      <c r="P547" s="34" t="s">
        <v>243</v>
      </c>
      <c r="Q547" s="83">
        <v>2025</v>
      </c>
    </row>
    <row r="548" spans="1:17" ht="15" x14ac:dyDescent="0.2">
      <c r="A548" s="83"/>
      <c r="B548" s="83" t="s">
        <v>264</v>
      </c>
      <c r="C548" s="133" t="s">
        <v>659</v>
      </c>
      <c r="D548" s="134" t="s">
        <v>263</v>
      </c>
      <c r="E548" s="83" t="s">
        <v>264</v>
      </c>
      <c r="F548" s="83" t="s">
        <v>265</v>
      </c>
      <c r="G548" s="135" t="s">
        <v>266</v>
      </c>
      <c r="H548" s="83" t="s">
        <v>267</v>
      </c>
      <c r="I548" s="135" t="s">
        <v>1043</v>
      </c>
      <c r="K548" s="137" t="s">
        <v>1446</v>
      </c>
      <c r="L548" s="135" t="s">
        <v>1043</v>
      </c>
      <c r="M548" s="135" t="s">
        <v>1043</v>
      </c>
      <c r="O548" s="34" t="s">
        <v>1502</v>
      </c>
      <c r="P548" s="34" t="s">
        <v>243</v>
      </c>
      <c r="Q548" s="83">
        <v>2025</v>
      </c>
    </row>
    <row r="549" spans="1:17" ht="15" x14ac:dyDescent="0.2">
      <c r="A549" s="83"/>
      <c r="B549" s="83" t="s">
        <v>264</v>
      </c>
      <c r="C549" s="133" t="s">
        <v>660</v>
      </c>
      <c r="D549" s="134" t="s">
        <v>263</v>
      </c>
      <c r="E549" s="83" t="s">
        <v>264</v>
      </c>
      <c r="F549" s="83" t="s">
        <v>265</v>
      </c>
      <c r="G549" s="135" t="s">
        <v>269</v>
      </c>
      <c r="H549" s="83" t="s">
        <v>267</v>
      </c>
      <c r="I549" s="135" t="s">
        <v>1044</v>
      </c>
      <c r="K549" s="137" t="s">
        <v>1447</v>
      </c>
      <c r="L549" s="135" t="s">
        <v>1044</v>
      </c>
      <c r="M549" s="135" t="s">
        <v>1044</v>
      </c>
      <c r="O549" s="34" t="s">
        <v>1502</v>
      </c>
      <c r="P549" s="34" t="s">
        <v>243</v>
      </c>
      <c r="Q549" s="83">
        <v>2025</v>
      </c>
    </row>
    <row r="550" spans="1:17" ht="15" x14ac:dyDescent="0.2">
      <c r="A550" s="83"/>
      <c r="B550" s="83" t="s">
        <v>264</v>
      </c>
      <c r="C550" s="133" t="s">
        <v>661</v>
      </c>
      <c r="D550" s="134" t="s">
        <v>263</v>
      </c>
      <c r="E550" s="83" t="s">
        <v>264</v>
      </c>
      <c r="F550" s="83" t="s">
        <v>265</v>
      </c>
      <c r="G550" s="135" t="s">
        <v>269</v>
      </c>
      <c r="H550" s="83" t="s">
        <v>267</v>
      </c>
      <c r="I550" s="135" t="s">
        <v>1044</v>
      </c>
      <c r="K550" s="137" t="s">
        <v>1448</v>
      </c>
      <c r="L550" s="135" t="s">
        <v>1044</v>
      </c>
      <c r="M550" s="135" t="s">
        <v>1044</v>
      </c>
      <c r="O550" s="34" t="s">
        <v>1502</v>
      </c>
      <c r="P550" s="34" t="s">
        <v>243</v>
      </c>
      <c r="Q550" s="83">
        <v>2025</v>
      </c>
    </row>
    <row r="551" spans="1:17" ht="15" x14ac:dyDescent="0.2">
      <c r="A551" s="83"/>
      <c r="B551" s="83" t="s">
        <v>264</v>
      </c>
      <c r="C551" s="133" t="s">
        <v>662</v>
      </c>
      <c r="D551" s="134" t="s">
        <v>263</v>
      </c>
      <c r="E551" s="83" t="s">
        <v>264</v>
      </c>
      <c r="F551" s="83" t="s">
        <v>265</v>
      </c>
      <c r="G551" s="135" t="s">
        <v>269</v>
      </c>
      <c r="H551" s="83" t="s">
        <v>267</v>
      </c>
      <c r="I551" s="135" t="s">
        <v>1044</v>
      </c>
      <c r="K551" s="137" t="s">
        <v>1449</v>
      </c>
      <c r="L551" s="135" t="s">
        <v>1044</v>
      </c>
      <c r="M551" s="135" t="s">
        <v>1044</v>
      </c>
      <c r="O551" s="34" t="s">
        <v>1502</v>
      </c>
      <c r="P551" s="34" t="s">
        <v>243</v>
      </c>
      <c r="Q551" s="83">
        <v>2025</v>
      </c>
    </row>
    <row r="552" spans="1:17" ht="15" x14ac:dyDescent="0.2">
      <c r="A552" s="83"/>
      <c r="B552" s="83" t="s">
        <v>264</v>
      </c>
      <c r="C552" s="133" t="s">
        <v>663</v>
      </c>
      <c r="D552" s="134" t="s">
        <v>263</v>
      </c>
      <c r="E552" s="83" t="s">
        <v>264</v>
      </c>
      <c r="F552" s="83" t="s">
        <v>265</v>
      </c>
      <c r="G552" s="135" t="s">
        <v>266</v>
      </c>
      <c r="H552" s="83" t="s">
        <v>267</v>
      </c>
      <c r="I552" s="135" t="s">
        <v>1045</v>
      </c>
      <c r="K552" s="137" t="s">
        <v>1450</v>
      </c>
      <c r="L552" s="135" t="s">
        <v>1045</v>
      </c>
      <c r="M552" s="135" t="s">
        <v>1045</v>
      </c>
      <c r="O552" s="34" t="s">
        <v>1502</v>
      </c>
      <c r="P552" s="34" t="s">
        <v>243</v>
      </c>
      <c r="Q552" s="83">
        <v>2025</v>
      </c>
    </row>
    <row r="553" spans="1:17" ht="15" x14ac:dyDescent="0.2">
      <c r="A553" s="83"/>
      <c r="B553" s="83" t="s">
        <v>264</v>
      </c>
      <c r="C553" s="133" t="s">
        <v>664</v>
      </c>
      <c r="D553" s="134" t="s">
        <v>263</v>
      </c>
      <c r="E553" s="83" t="s">
        <v>264</v>
      </c>
      <c r="F553" s="83" t="s">
        <v>265</v>
      </c>
      <c r="G553" s="135" t="s">
        <v>266</v>
      </c>
      <c r="H553" s="83" t="s">
        <v>267</v>
      </c>
      <c r="I553" s="135" t="s">
        <v>1045</v>
      </c>
      <c r="K553" s="137" t="s">
        <v>1451</v>
      </c>
      <c r="L553" s="135" t="s">
        <v>1045</v>
      </c>
      <c r="M553" s="135" t="s">
        <v>1045</v>
      </c>
      <c r="O553" s="34" t="s">
        <v>1502</v>
      </c>
      <c r="P553" s="34" t="s">
        <v>243</v>
      </c>
      <c r="Q553" s="83">
        <v>2025</v>
      </c>
    </row>
    <row r="554" spans="1:17" ht="15" x14ac:dyDescent="0.2">
      <c r="A554" s="83"/>
      <c r="B554" s="83" t="s">
        <v>264</v>
      </c>
      <c r="C554" s="133" t="s">
        <v>665</v>
      </c>
      <c r="D554" s="134" t="s">
        <v>263</v>
      </c>
      <c r="E554" s="83" t="s">
        <v>264</v>
      </c>
      <c r="F554" s="83" t="s">
        <v>265</v>
      </c>
      <c r="G554" s="135" t="s">
        <v>266</v>
      </c>
      <c r="H554" s="83" t="s">
        <v>267</v>
      </c>
      <c r="I554" s="135" t="s">
        <v>1045</v>
      </c>
      <c r="K554" s="137" t="s">
        <v>1452</v>
      </c>
      <c r="L554" s="135" t="s">
        <v>1045</v>
      </c>
      <c r="M554" s="135" t="s">
        <v>1045</v>
      </c>
      <c r="O554" s="34" t="s">
        <v>1502</v>
      </c>
      <c r="P554" s="34" t="s">
        <v>243</v>
      </c>
      <c r="Q554" s="83">
        <v>2025</v>
      </c>
    </row>
    <row r="555" spans="1:17" ht="15" x14ac:dyDescent="0.2">
      <c r="A555" s="83"/>
      <c r="B555" s="83" t="s">
        <v>264</v>
      </c>
      <c r="C555" s="133" t="s">
        <v>666</v>
      </c>
      <c r="D555" s="134" t="s">
        <v>263</v>
      </c>
      <c r="E555" s="83" t="s">
        <v>264</v>
      </c>
      <c r="F555" s="83" t="s">
        <v>265</v>
      </c>
      <c r="G555" s="135" t="s">
        <v>269</v>
      </c>
      <c r="H555" s="83" t="s">
        <v>267</v>
      </c>
      <c r="I555" s="135" t="s">
        <v>1046</v>
      </c>
      <c r="K555" s="137" t="s">
        <v>1453</v>
      </c>
      <c r="L555" s="135" t="s">
        <v>1046</v>
      </c>
      <c r="M555" s="135" t="s">
        <v>1046</v>
      </c>
      <c r="O555" s="34" t="s">
        <v>1502</v>
      </c>
      <c r="P555" s="34" t="s">
        <v>243</v>
      </c>
      <c r="Q555" s="83">
        <v>2025</v>
      </c>
    </row>
    <row r="556" spans="1:17" ht="15" x14ac:dyDescent="0.2">
      <c r="A556" s="83"/>
      <c r="B556" s="83" t="s">
        <v>264</v>
      </c>
      <c r="C556" s="133" t="s">
        <v>667</v>
      </c>
      <c r="D556" s="134" t="s">
        <v>263</v>
      </c>
      <c r="E556" s="83" t="s">
        <v>264</v>
      </c>
      <c r="F556" s="83" t="s">
        <v>265</v>
      </c>
      <c r="G556" s="135" t="s">
        <v>269</v>
      </c>
      <c r="H556" s="83" t="s">
        <v>267</v>
      </c>
      <c r="I556" s="135" t="s">
        <v>1046</v>
      </c>
      <c r="K556" s="137" t="s">
        <v>1454</v>
      </c>
      <c r="L556" s="135" t="s">
        <v>1046</v>
      </c>
      <c r="M556" s="135" t="s">
        <v>1046</v>
      </c>
      <c r="O556" s="34" t="s">
        <v>1502</v>
      </c>
      <c r="P556" s="34" t="s">
        <v>243</v>
      </c>
      <c r="Q556" s="83">
        <v>2025</v>
      </c>
    </row>
    <row r="557" spans="1:17" ht="15" x14ac:dyDescent="0.2">
      <c r="A557" s="83"/>
      <c r="B557" s="83" t="s">
        <v>264</v>
      </c>
      <c r="C557" s="133" t="s">
        <v>668</v>
      </c>
      <c r="D557" s="134" t="s">
        <v>263</v>
      </c>
      <c r="E557" s="83" t="s">
        <v>264</v>
      </c>
      <c r="F557" s="83" t="s">
        <v>265</v>
      </c>
      <c r="G557" s="135" t="s">
        <v>269</v>
      </c>
      <c r="H557" s="83" t="s">
        <v>267</v>
      </c>
      <c r="I557" s="135" t="s">
        <v>1046</v>
      </c>
      <c r="K557" s="137" t="s">
        <v>1455</v>
      </c>
      <c r="L557" s="135" t="s">
        <v>1046</v>
      </c>
      <c r="M557" s="135" t="s">
        <v>1046</v>
      </c>
      <c r="O557" s="34" t="s">
        <v>1502</v>
      </c>
      <c r="P557" s="34" t="s">
        <v>243</v>
      </c>
      <c r="Q557" s="83">
        <v>2025</v>
      </c>
    </row>
    <row r="558" spans="1:17" ht="15" x14ac:dyDescent="0.2">
      <c r="A558" s="83"/>
      <c r="B558" s="83" t="s">
        <v>264</v>
      </c>
      <c r="C558" s="133" t="s">
        <v>669</v>
      </c>
      <c r="D558" s="134" t="s">
        <v>263</v>
      </c>
      <c r="E558" s="83" t="s">
        <v>264</v>
      </c>
      <c r="F558" s="83" t="s">
        <v>265</v>
      </c>
      <c r="G558" s="135" t="s">
        <v>269</v>
      </c>
      <c r="H558" s="83" t="s">
        <v>267</v>
      </c>
      <c r="I558" s="135" t="s">
        <v>1047</v>
      </c>
      <c r="K558" s="137" t="s">
        <v>1456</v>
      </c>
      <c r="L558" s="135" t="s">
        <v>1047</v>
      </c>
      <c r="M558" s="135" t="s">
        <v>1047</v>
      </c>
      <c r="O558" s="34" t="s">
        <v>1502</v>
      </c>
      <c r="P558" s="34" t="s">
        <v>243</v>
      </c>
      <c r="Q558" s="83">
        <v>2025</v>
      </c>
    </row>
    <row r="559" spans="1:17" ht="15" x14ac:dyDescent="0.2">
      <c r="A559" s="83"/>
      <c r="B559" s="83" t="s">
        <v>264</v>
      </c>
      <c r="C559" s="133" t="s">
        <v>670</v>
      </c>
      <c r="D559" s="134" t="s">
        <v>263</v>
      </c>
      <c r="E559" s="83" t="s">
        <v>264</v>
      </c>
      <c r="F559" s="83" t="s">
        <v>265</v>
      </c>
      <c r="G559" s="135" t="s">
        <v>266</v>
      </c>
      <c r="H559" s="83" t="s">
        <v>267</v>
      </c>
      <c r="I559" s="135" t="s">
        <v>1048</v>
      </c>
      <c r="K559" s="137" t="s">
        <v>1457</v>
      </c>
      <c r="L559" s="135" t="s">
        <v>1048</v>
      </c>
      <c r="M559" s="135" t="s">
        <v>1048</v>
      </c>
      <c r="O559" s="34" t="s">
        <v>1502</v>
      </c>
      <c r="P559" s="34" t="s">
        <v>243</v>
      </c>
      <c r="Q559" s="83">
        <v>2025</v>
      </c>
    </row>
    <row r="560" spans="1:17" ht="15" x14ac:dyDescent="0.2">
      <c r="A560" s="83"/>
      <c r="B560" s="83" t="s">
        <v>264</v>
      </c>
      <c r="C560" s="133" t="s">
        <v>671</v>
      </c>
      <c r="D560" s="134" t="s">
        <v>263</v>
      </c>
      <c r="E560" s="83" t="s">
        <v>264</v>
      </c>
      <c r="F560" s="83" t="s">
        <v>265</v>
      </c>
      <c r="G560" s="135" t="s">
        <v>266</v>
      </c>
      <c r="H560" s="83" t="s">
        <v>267</v>
      </c>
      <c r="I560" s="135" t="s">
        <v>1049</v>
      </c>
      <c r="K560" s="137" t="s">
        <v>1458</v>
      </c>
      <c r="L560" s="135" t="s">
        <v>1049</v>
      </c>
      <c r="M560" s="135" t="s">
        <v>1049</v>
      </c>
      <c r="O560" s="34" t="s">
        <v>1502</v>
      </c>
      <c r="P560" s="34" t="s">
        <v>243</v>
      </c>
      <c r="Q560" s="83">
        <v>2025</v>
      </c>
    </row>
    <row r="561" spans="1:17" ht="15" x14ac:dyDescent="0.2">
      <c r="A561" s="83"/>
      <c r="B561" s="83" t="s">
        <v>264</v>
      </c>
      <c r="C561" s="133" t="s">
        <v>672</v>
      </c>
      <c r="D561" s="134" t="s">
        <v>263</v>
      </c>
      <c r="E561" s="83" t="s">
        <v>264</v>
      </c>
      <c r="F561" s="83" t="s">
        <v>265</v>
      </c>
      <c r="G561" s="135" t="s">
        <v>266</v>
      </c>
      <c r="H561" s="83" t="s">
        <v>267</v>
      </c>
      <c r="I561" s="135" t="s">
        <v>1049</v>
      </c>
      <c r="K561" s="137" t="s">
        <v>1459</v>
      </c>
      <c r="L561" s="135" t="s">
        <v>1049</v>
      </c>
      <c r="M561" s="135" t="s">
        <v>1049</v>
      </c>
      <c r="O561" s="34" t="s">
        <v>1502</v>
      </c>
      <c r="P561" s="34" t="s">
        <v>243</v>
      </c>
      <c r="Q561" s="83">
        <v>2025</v>
      </c>
    </row>
    <row r="562" spans="1:17" ht="15" x14ac:dyDescent="0.2">
      <c r="A562" s="83"/>
      <c r="B562" s="83" t="s">
        <v>264</v>
      </c>
      <c r="C562" s="133" t="s">
        <v>673</v>
      </c>
      <c r="D562" s="134" t="s">
        <v>263</v>
      </c>
      <c r="E562" s="83" t="s">
        <v>264</v>
      </c>
      <c r="F562" s="83" t="s">
        <v>265</v>
      </c>
      <c r="G562" s="135" t="s">
        <v>266</v>
      </c>
      <c r="H562" s="83" t="s">
        <v>267</v>
      </c>
      <c r="I562" s="135" t="s">
        <v>1049</v>
      </c>
      <c r="K562" s="137" t="s">
        <v>1460</v>
      </c>
      <c r="L562" s="135" t="s">
        <v>1049</v>
      </c>
      <c r="M562" s="135" t="s">
        <v>1049</v>
      </c>
      <c r="O562" s="34" t="s">
        <v>1502</v>
      </c>
      <c r="P562" s="34" t="s">
        <v>243</v>
      </c>
      <c r="Q562" s="83">
        <v>2025</v>
      </c>
    </row>
    <row r="563" spans="1:17" ht="15" x14ac:dyDescent="0.2">
      <c r="A563" s="83"/>
      <c r="B563" s="83" t="s">
        <v>264</v>
      </c>
      <c r="C563" s="133" t="s">
        <v>674</v>
      </c>
      <c r="D563" s="134" t="s">
        <v>263</v>
      </c>
      <c r="E563" s="83" t="s">
        <v>264</v>
      </c>
      <c r="F563" s="83" t="s">
        <v>265</v>
      </c>
      <c r="G563" s="135" t="s">
        <v>266</v>
      </c>
      <c r="H563" s="83" t="s">
        <v>267</v>
      </c>
      <c r="I563" s="135" t="s">
        <v>1050</v>
      </c>
      <c r="K563" s="137" t="s">
        <v>1461</v>
      </c>
      <c r="L563" s="135" t="s">
        <v>1050</v>
      </c>
      <c r="M563" s="135" t="s">
        <v>1050</v>
      </c>
      <c r="O563" s="34" t="s">
        <v>1502</v>
      </c>
      <c r="P563" s="34" t="s">
        <v>243</v>
      </c>
      <c r="Q563" s="83">
        <v>2025</v>
      </c>
    </row>
    <row r="564" spans="1:17" ht="15" x14ac:dyDescent="0.2">
      <c r="A564" s="83"/>
      <c r="B564" s="83" t="s">
        <v>264</v>
      </c>
      <c r="C564" s="133" t="s">
        <v>675</v>
      </c>
      <c r="D564" s="134" t="s">
        <v>263</v>
      </c>
      <c r="E564" s="83" t="s">
        <v>264</v>
      </c>
      <c r="F564" s="83" t="s">
        <v>265</v>
      </c>
      <c r="G564" s="135" t="s">
        <v>266</v>
      </c>
      <c r="H564" s="83" t="s">
        <v>267</v>
      </c>
      <c r="I564" s="135" t="s">
        <v>1050</v>
      </c>
      <c r="K564" s="137" t="s">
        <v>1462</v>
      </c>
      <c r="L564" s="135" t="s">
        <v>1050</v>
      </c>
      <c r="M564" s="135" t="s">
        <v>1050</v>
      </c>
      <c r="O564" s="34" t="s">
        <v>1502</v>
      </c>
      <c r="P564" s="34" t="s">
        <v>243</v>
      </c>
      <c r="Q564" s="83">
        <v>2025</v>
      </c>
    </row>
    <row r="565" spans="1:17" ht="15" x14ac:dyDescent="0.2">
      <c r="A565" s="83"/>
      <c r="B565" s="83" t="s">
        <v>264</v>
      </c>
      <c r="C565" s="133" t="s">
        <v>676</v>
      </c>
      <c r="D565" s="134" t="s">
        <v>263</v>
      </c>
      <c r="E565" s="83" t="s">
        <v>264</v>
      </c>
      <c r="F565" s="83" t="s">
        <v>265</v>
      </c>
      <c r="G565" s="135" t="s">
        <v>266</v>
      </c>
      <c r="H565" s="83" t="s">
        <v>267</v>
      </c>
      <c r="I565" s="135" t="s">
        <v>1050</v>
      </c>
      <c r="K565" s="137" t="s">
        <v>1463</v>
      </c>
      <c r="L565" s="135" t="s">
        <v>1050</v>
      </c>
      <c r="M565" s="135" t="s">
        <v>1050</v>
      </c>
      <c r="O565" s="34" t="s">
        <v>1502</v>
      </c>
      <c r="P565" s="34" t="s">
        <v>243</v>
      </c>
      <c r="Q565" s="83">
        <v>2025</v>
      </c>
    </row>
    <row r="566" spans="1:17" ht="15" x14ac:dyDescent="0.2">
      <c r="A566" s="83"/>
      <c r="B566" s="83" t="s">
        <v>264</v>
      </c>
      <c r="C566" s="133" t="s">
        <v>677</v>
      </c>
      <c r="D566" s="134" t="s">
        <v>263</v>
      </c>
      <c r="E566" s="83" t="s">
        <v>264</v>
      </c>
      <c r="F566" s="83" t="s">
        <v>265</v>
      </c>
      <c r="G566" s="135" t="s">
        <v>266</v>
      </c>
      <c r="H566" s="83" t="s">
        <v>267</v>
      </c>
      <c r="I566" s="135" t="s">
        <v>1051</v>
      </c>
      <c r="K566" s="137" t="s">
        <v>1464</v>
      </c>
      <c r="L566" s="135" t="s">
        <v>1051</v>
      </c>
      <c r="M566" s="135" t="s">
        <v>1051</v>
      </c>
      <c r="O566" s="34" t="s">
        <v>1502</v>
      </c>
      <c r="P566" s="34" t="s">
        <v>243</v>
      </c>
      <c r="Q566" s="83">
        <v>2025</v>
      </c>
    </row>
    <row r="567" spans="1:17" ht="15" x14ac:dyDescent="0.2">
      <c r="A567" s="83"/>
      <c r="B567" s="83" t="s">
        <v>264</v>
      </c>
      <c r="C567" s="133" t="s">
        <v>678</v>
      </c>
      <c r="D567" s="134" t="s">
        <v>263</v>
      </c>
      <c r="E567" s="83" t="s">
        <v>264</v>
      </c>
      <c r="F567" s="83" t="s">
        <v>265</v>
      </c>
      <c r="G567" s="135" t="s">
        <v>266</v>
      </c>
      <c r="H567" s="83" t="s">
        <v>267</v>
      </c>
      <c r="I567" s="135" t="s">
        <v>1051</v>
      </c>
      <c r="K567" s="137" t="s">
        <v>1465</v>
      </c>
      <c r="L567" s="135" t="s">
        <v>1051</v>
      </c>
      <c r="M567" s="135" t="s">
        <v>1051</v>
      </c>
      <c r="O567" s="34" t="s">
        <v>1502</v>
      </c>
      <c r="P567" s="34" t="s">
        <v>243</v>
      </c>
      <c r="Q567" s="83">
        <v>2025</v>
      </c>
    </row>
    <row r="568" spans="1:17" ht="15" x14ac:dyDescent="0.2">
      <c r="A568" s="83"/>
      <c r="B568" s="83" t="s">
        <v>264</v>
      </c>
      <c r="C568" s="133" t="s">
        <v>679</v>
      </c>
      <c r="D568" s="134" t="s">
        <v>263</v>
      </c>
      <c r="E568" s="83" t="s">
        <v>264</v>
      </c>
      <c r="F568" s="83" t="s">
        <v>265</v>
      </c>
      <c r="G568" s="135" t="s">
        <v>266</v>
      </c>
      <c r="H568" s="83" t="s">
        <v>267</v>
      </c>
      <c r="I568" s="135" t="s">
        <v>1051</v>
      </c>
      <c r="K568" s="137" t="s">
        <v>1466</v>
      </c>
      <c r="L568" s="135" t="s">
        <v>1051</v>
      </c>
      <c r="M568" s="135" t="s">
        <v>1051</v>
      </c>
      <c r="O568" s="34" t="s">
        <v>1502</v>
      </c>
      <c r="P568" s="34" t="s">
        <v>243</v>
      </c>
      <c r="Q568" s="83">
        <v>2025</v>
      </c>
    </row>
    <row r="569" spans="1:17" ht="15" x14ac:dyDescent="0.2">
      <c r="A569" s="83"/>
      <c r="B569" s="83" t="s">
        <v>264</v>
      </c>
      <c r="C569" s="133" t="s">
        <v>680</v>
      </c>
      <c r="D569" s="134" t="s">
        <v>263</v>
      </c>
      <c r="E569" s="83" t="s">
        <v>264</v>
      </c>
      <c r="F569" s="83" t="s">
        <v>265</v>
      </c>
      <c r="G569" s="135" t="s">
        <v>266</v>
      </c>
      <c r="H569" s="83" t="s">
        <v>267</v>
      </c>
      <c r="I569" s="135" t="s">
        <v>1052</v>
      </c>
      <c r="K569" s="137" t="s">
        <v>1467</v>
      </c>
      <c r="L569" s="135" t="s">
        <v>1052</v>
      </c>
      <c r="M569" s="135" t="s">
        <v>1052</v>
      </c>
      <c r="O569" s="34" t="s">
        <v>1502</v>
      </c>
      <c r="P569" s="34" t="s">
        <v>243</v>
      </c>
      <c r="Q569" s="83">
        <v>2025</v>
      </c>
    </row>
    <row r="570" spans="1:17" ht="15" x14ac:dyDescent="0.2">
      <c r="A570" s="83"/>
      <c r="B570" s="83" t="s">
        <v>264</v>
      </c>
      <c r="C570" s="133" t="s">
        <v>681</v>
      </c>
      <c r="D570" s="134" t="s">
        <v>263</v>
      </c>
      <c r="E570" s="83" t="s">
        <v>264</v>
      </c>
      <c r="F570" s="83" t="s">
        <v>265</v>
      </c>
      <c r="G570" s="135" t="s">
        <v>266</v>
      </c>
      <c r="H570" s="83" t="s">
        <v>267</v>
      </c>
      <c r="I570" s="135" t="s">
        <v>1052</v>
      </c>
      <c r="K570" s="137" t="s">
        <v>1468</v>
      </c>
      <c r="L570" s="135" t="s">
        <v>1052</v>
      </c>
      <c r="M570" s="135" t="s">
        <v>1052</v>
      </c>
      <c r="O570" s="34" t="s">
        <v>1502</v>
      </c>
      <c r="P570" s="34" t="s">
        <v>243</v>
      </c>
      <c r="Q570" s="83">
        <v>2025</v>
      </c>
    </row>
    <row r="571" spans="1:17" ht="15" x14ac:dyDescent="0.2">
      <c r="A571" s="83"/>
      <c r="B571" s="83" t="s">
        <v>264</v>
      </c>
      <c r="C571" s="133" t="s">
        <v>682</v>
      </c>
      <c r="D571" s="134" t="s">
        <v>263</v>
      </c>
      <c r="E571" s="83" t="s">
        <v>264</v>
      </c>
      <c r="F571" s="83" t="s">
        <v>265</v>
      </c>
      <c r="G571" s="135" t="s">
        <v>266</v>
      </c>
      <c r="H571" s="83" t="s">
        <v>267</v>
      </c>
      <c r="I571" s="135" t="s">
        <v>1052</v>
      </c>
      <c r="K571" s="137" t="s">
        <v>1469</v>
      </c>
      <c r="L571" s="135" t="s">
        <v>1052</v>
      </c>
      <c r="M571" s="135" t="s">
        <v>1052</v>
      </c>
      <c r="O571" s="34" t="s">
        <v>1502</v>
      </c>
      <c r="P571" s="34" t="s">
        <v>243</v>
      </c>
      <c r="Q571" s="83">
        <v>2025</v>
      </c>
    </row>
    <row r="572" spans="1:17" ht="15" x14ac:dyDescent="0.2">
      <c r="A572" s="83"/>
      <c r="B572" s="83" t="s">
        <v>264</v>
      </c>
      <c r="C572" s="133" t="s">
        <v>683</v>
      </c>
      <c r="D572" s="134" t="s">
        <v>263</v>
      </c>
      <c r="E572" s="83" t="s">
        <v>264</v>
      </c>
      <c r="F572" s="83" t="s">
        <v>265</v>
      </c>
      <c r="G572" s="135" t="s">
        <v>266</v>
      </c>
      <c r="H572" s="83" t="s">
        <v>267</v>
      </c>
      <c r="I572" s="135" t="s">
        <v>1053</v>
      </c>
      <c r="K572" s="137" t="s">
        <v>1470</v>
      </c>
      <c r="L572" s="135" t="s">
        <v>1053</v>
      </c>
      <c r="M572" s="135" t="s">
        <v>1053</v>
      </c>
      <c r="O572" s="34" t="s">
        <v>1502</v>
      </c>
      <c r="P572" s="34" t="s">
        <v>243</v>
      </c>
      <c r="Q572" s="83">
        <v>2025</v>
      </c>
    </row>
    <row r="573" spans="1:17" ht="15" x14ac:dyDescent="0.2">
      <c r="A573" s="83"/>
      <c r="B573" s="83" t="s">
        <v>264</v>
      </c>
      <c r="C573" s="133" t="s">
        <v>684</v>
      </c>
      <c r="D573" s="134" t="s">
        <v>263</v>
      </c>
      <c r="E573" s="83" t="s">
        <v>264</v>
      </c>
      <c r="F573" s="83" t="s">
        <v>265</v>
      </c>
      <c r="G573" s="135" t="s">
        <v>266</v>
      </c>
      <c r="H573" s="83" t="s">
        <v>267</v>
      </c>
      <c r="I573" s="135" t="s">
        <v>1054</v>
      </c>
      <c r="K573" s="137" t="s">
        <v>1471</v>
      </c>
      <c r="L573" s="135" t="s">
        <v>1054</v>
      </c>
      <c r="M573" s="135" t="s">
        <v>1054</v>
      </c>
      <c r="O573" s="34" t="s">
        <v>1502</v>
      </c>
      <c r="P573" s="34" t="s">
        <v>243</v>
      </c>
      <c r="Q573" s="83">
        <v>2025</v>
      </c>
    </row>
    <row r="574" spans="1:17" ht="15" x14ac:dyDescent="0.2">
      <c r="A574" s="83"/>
      <c r="B574" s="83" t="s">
        <v>264</v>
      </c>
      <c r="C574" s="133" t="s">
        <v>685</v>
      </c>
      <c r="D574" s="134" t="s">
        <v>263</v>
      </c>
      <c r="E574" s="83" t="s">
        <v>264</v>
      </c>
      <c r="F574" s="83" t="s">
        <v>265</v>
      </c>
      <c r="G574" s="135" t="s">
        <v>266</v>
      </c>
      <c r="H574" s="83" t="s">
        <v>267</v>
      </c>
      <c r="I574" s="135" t="s">
        <v>1054</v>
      </c>
      <c r="K574" s="137" t="s">
        <v>1472</v>
      </c>
      <c r="L574" s="135" t="s">
        <v>1054</v>
      </c>
      <c r="M574" s="135" t="s">
        <v>1054</v>
      </c>
      <c r="O574" s="34" t="s">
        <v>1502</v>
      </c>
      <c r="P574" s="34" t="s">
        <v>243</v>
      </c>
      <c r="Q574" s="83">
        <v>2025</v>
      </c>
    </row>
    <row r="575" spans="1:17" ht="15" x14ac:dyDescent="0.2">
      <c r="A575" s="83"/>
      <c r="B575" s="83" t="s">
        <v>264</v>
      </c>
      <c r="C575" s="133" t="s">
        <v>686</v>
      </c>
      <c r="D575" s="134" t="s">
        <v>263</v>
      </c>
      <c r="E575" s="83" t="s">
        <v>264</v>
      </c>
      <c r="F575" s="83" t="s">
        <v>265</v>
      </c>
      <c r="G575" s="135" t="s">
        <v>266</v>
      </c>
      <c r="H575" s="83" t="s">
        <v>267</v>
      </c>
      <c r="I575" s="135" t="s">
        <v>1054</v>
      </c>
      <c r="K575" s="137" t="s">
        <v>1473</v>
      </c>
      <c r="L575" s="135" t="s">
        <v>1054</v>
      </c>
      <c r="M575" s="135" t="s">
        <v>1054</v>
      </c>
      <c r="O575" s="34" t="s">
        <v>1502</v>
      </c>
      <c r="P575" s="34" t="s">
        <v>243</v>
      </c>
      <c r="Q575" s="83">
        <v>2025</v>
      </c>
    </row>
    <row r="576" spans="1:17" ht="15" x14ac:dyDescent="0.2">
      <c r="A576" s="83"/>
      <c r="B576" s="83" t="s">
        <v>264</v>
      </c>
      <c r="C576" s="133" t="s">
        <v>687</v>
      </c>
      <c r="D576" s="134" t="s">
        <v>263</v>
      </c>
      <c r="E576" s="83" t="s">
        <v>264</v>
      </c>
      <c r="F576" s="83" t="s">
        <v>265</v>
      </c>
      <c r="G576" s="135" t="s">
        <v>266</v>
      </c>
      <c r="H576" s="83" t="s">
        <v>267</v>
      </c>
      <c r="I576" s="135" t="s">
        <v>1055</v>
      </c>
      <c r="K576" s="137" t="s">
        <v>1474</v>
      </c>
      <c r="L576" s="135" t="s">
        <v>1055</v>
      </c>
      <c r="M576" s="135" t="s">
        <v>1055</v>
      </c>
      <c r="O576" s="34" t="s">
        <v>1502</v>
      </c>
      <c r="P576" s="34" t="s">
        <v>243</v>
      </c>
      <c r="Q576" s="83">
        <v>2025</v>
      </c>
    </row>
    <row r="577" spans="1:17" ht="15" x14ac:dyDescent="0.2">
      <c r="A577" s="83"/>
      <c r="B577" s="83" t="s">
        <v>264</v>
      </c>
      <c r="C577" s="133" t="s">
        <v>688</v>
      </c>
      <c r="D577" s="134" t="s">
        <v>263</v>
      </c>
      <c r="E577" s="83" t="s">
        <v>264</v>
      </c>
      <c r="F577" s="83" t="s">
        <v>265</v>
      </c>
      <c r="G577" s="135" t="s">
        <v>266</v>
      </c>
      <c r="H577" s="83" t="s">
        <v>267</v>
      </c>
      <c r="I577" s="135" t="s">
        <v>1055</v>
      </c>
      <c r="K577" s="137" t="s">
        <v>1475</v>
      </c>
      <c r="L577" s="135" t="s">
        <v>1055</v>
      </c>
      <c r="M577" s="135" t="s">
        <v>1055</v>
      </c>
      <c r="O577" s="34" t="s">
        <v>1502</v>
      </c>
      <c r="P577" s="34" t="s">
        <v>243</v>
      </c>
      <c r="Q577" s="83">
        <v>2025</v>
      </c>
    </row>
    <row r="578" spans="1:17" ht="15" x14ac:dyDescent="0.2">
      <c r="A578" s="83"/>
      <c r="B578" s="83" t="s">
        <v>264</v>
      </c>
      <c r="C578" s="133" t="s">
        <v>689</v>
      </c>
      <c r="D578" s="134" t="s">
        <v>263</v>
      </c>
      <c r="E578" s="83" t="s">
        <v>264</v>
      </c>
      <c r="F578" s="83" t="s">
        <v>265</v>
      </c>
      <c r="G578" s="135" t="s">
        <v>266</v>
      </c>
      <c r="H578" s="83" t="s">
        <v>267</v>
      </c>
      <c r="I578" s="135" t="s">
        <v>1055</v>
      </c>
      <c r="K578" s="137" t="s">
        <v>1476</v>
      </c>
      <c r="L578" s="135" t="s">
        <v>1055</v>
      </c>
      <c r="M578" s="135" t="s">
        <v>1055</v>
      </c>
      <c r="O578" s="34" t="s">
        <v>1502</v>
      </c>
      <c r="P578" s="34" t="s">
        <v>243</v>
      </c>
      <c r="Q578" s="83">
        <v>2025</v>
      </c>
    </row>
    <row r="579" spans="1:17" ht="15" x14ac:dyDescent="0.2">
      <c r="A579" s="83"/>
      <c r="B579" s="83" t="s">
        <v>264</v>
      </c>
      <c r="C579" s="133" t="s">
        <v>690</v>
      </c>
      <c r="D579" s="134" t="s">
        <v>263</v>
      </c>
      <c r="E579" s="83" t="s">
        <v>264</v>
      </c>
      <c r="F579" s="83" t="s">
        <v>265</v>
      </c>
      <c r="G579" s="135" t="s">
        <v>266</v>
      </c>
      <c r="H579" s="83" t="s">
        <v>267</v>
      </c>
      <c r="I579" s="135" t="s">
        <v>1056</v>
      </c>
      <c r="K579" s="137" t="s">
        <v>1477</v>
      </c>
      <c r="L579" s="135" t="s">
        <v>1056</v>
      </c>
      <c r="M579" s="135" t="s">
        <v>1056</v>
      </c>
      <c r="O579" s="34" t="s">
        <v>1502</v>
      </c>
      <c r="P579" s="34" t="s">
        <v>243</v>
      </c>
      <c r="Q579" s="83">
        <v>2025</v>
      </c>
    </row>
    <row r="580" spans="1:17" ht="15" x14ac:dyDescent="0.2">
      <c r="A580" s="83"/>
      <c r="B580" s="83" t="s">
        <v>264</v>
      </c>
      <c r="C580" s="133" t="s">
        <v>691</v>
      </c>
      <c r="D580" s="134" t="s">
        <v>263</v>
      </c>
      <c r="E580" s="83" t="s">
        <v>264</v>
      </c>
      <c r="F580" s="83" t="s">
        <v>265</v>
      </c>
      <c r="G580" s="135" t="s">
        <v>266</v>
      </c>
      <c r="H580" s="83" t="s">
        <v>267</v>
      </c>
      <c r="I580" s="135" t="s">
        <v>1057</v>
      </c>
      <c r="K580" s="137" t="s">
        <v>1478</v>
      </c>
      <c r="L580" s="135" t="s">
        <v>1057</v>
      </c>
      <c r="M580" s="135" t="s">
        <v>1057</v>
      </c>
      <c r="O580" s="34" t="s">
        <v>1502</v>
      </c>
      <c r="P580" s="34" t="s">
        <v>243</v>
      </c>
      <c r="Q580" s="83">
        <v>2025</v>
      </c>
    </row>
    <row r="581" spans="1:17" ht="15" x14ac:dyDescent="0.2">
      <c r="A581" s="83"/>
      <c r="B581" s="83" t="s">
        <v>264</v>
      </c>
      <c r="C581" s="133" t="s">
        <v>692</v>
      </c>
      <c r="D581" s="134" t="s">
        <v>263</v>
      </c>
      <c r="E581" s="83" t="s">
        <v>264</v>
      </c>
      <c r="F581" s="83" t="s">
        <v>265</v>
      </c>
      <c r="G581" s="135" t="s">
        <v>266</v>
      </c>
      <c r="H581" s="83" t="s">
        <v>267</v>
      </c>
      <c r="I581" s="135" t="s">
        <v>1058</v>
      </c>
      <c r="K581" s="137" t="s">
        <v>1479</v>
      </c>
      <c r="L581" s="135" t="s">
        <v>1058</v>
      </c>
      <c r="M581" s="135" t="s">
        <v>1058</v>
      </c>
      <c r="O581" s="34" t="s">
        <v>1502</v>
      </c>
      <c r="P581" s="34" t="s">
        <v>243</v>
      </c>
      <c r="Q581" s="83">
        <v>2025</v>
      </c>
    </row>
    <row r="582" spans="1:17" ht="15" x14ac:dyDescent="0.2">
      <c r="A582" s="83"/>
      <c r="B582" s="83" t="s">
        <v>264</v>
      </c>
      <c r="C582" s="133" t="s">
        <v>693</v>
      </c>
      <c r="D582" s="134" t="s">
        <v>263</v>
      </c>
      <c r="E582" s="83" t="s">
        <v>264</v>
      </c>
      <c r="F582" s="83" t="s">
        <v>265</v>
      </c>
      <c r="G582" s="135" t="s">
        <v>266</v>
      </c>
      <c r="H582" s="83" t="s">
        <v>267</v>
      </c>
      <c r="I582" s="135" t="s">
        <v>1058</v>
      </c>
      <c r="K582" s="137" t="s">
        <v>1480</v>
      </c>
      <c r="L582" s="135" t="s">
        <v>1058</v>
      </c>
      <c r="M582" s="135" t="s">
        <v>1058</v>
      </c>
      <c r="O582" s="34" t="s">
        <v>1502</v>
      </c>
      <c r="P582" s="34" t="s">
        <v>243</v>
      </c>
      <c r="Q582" s="83">
        <v>2025</v>
      </c>
    </row>
    <row r="583" spans="1:17" ht="15" x14ac:dyDescent="0.2">
      <c r="A583" s="83"/>
      <c r="B583" s="83" t="s">
        <v>264</v>
      </c>
      <c r="C583" s="133" t="s">
        <v>694</v>
      </c>
      <c r="D583" s="134" t="s">
        <v>263</v>
      </c>
      <c r="E583" s="83" t="s">
        <v>264</v>
      </c>
      <c r="F583" s="83" t="s">
        <v>265</v>
      </c>
      <c r="G583" s="135" t="s">
        <v>266</v>
      </c>
      <c r="H583" s="83" t="s">
        <v>267</v>
      </c>
      <c r="I583" s="135" t="s">
        <v>1058</v>
      </c>
      <c r="K583" s="137" t="s">
        <v>1481</v>
      </c>
      <c r="L583" s="135" t="s">
        <v>1058</v>
      </c>
      <c r="M583" s="135" t="s">
        <v>1058</v>
      </c>
      <c r="O583" s="34" t="s">
        <v>1502</v>
      </c>
      <c r="P583" s="34" t="s">
        <v>243</v>
      </c>
      <c r="Q583" s="83">
        <v>2025</v>
      </c>
    </row>
    <row r="584" spans="1:17" ht="15" x14ac:dyDescent="0.2">
      <c r="A584" s="83"/>
      <c r="B584" s="83" t="s">
        <v>264</v>
      </c>
      <c r="C584" s="133" t="s">
        <v>695</v>
      </c>
      <c r="D584" s="134" t="s">
        <v>263</v>
      </c>
      <c r="E584" s="83" t="s">
        <v>264</v>
      </c>
      <c r="F584" s="83" t="s">
        <v>265</v>
      </c>
      <c r="G584" s="135" t="s">
        <v>266</v>
      </c>
      <c r="H584" s="83" t="s">
        <v>267</v>
      </c>
      <c r="I584" s="135" t="s">
        <v>1059</v>
      </c>
      <c r="K584" s="137" t="s">
        <v>1482</v>
      </c>
      <c r="L584" s="135" t="s">
        <v>1059</v>
      </c>
      <c r="M584" s="135" t="s">
        <v>1059</v>
      </c>
      <c r="O584" s="34" t="s">
        <v>1502</v>
      </c>
      <c r="P584" s="34" t="s">
        <v>243</v>
      </c>
      <c r="Q584" s="83">
        <v>2025</v>
      </c>
    </row>
    <row r="585" spans="1:17" ht="15" x14ac:dyDescent="0.2">
      <c r="A585" s="83"/>
      <c r="B585" s="83" t="s">
        <v>264</v>
      </c>
      <c r="C585" s="133" t="s">
        <v>696</v>
      </c>
      <c r="D585" s="134" t="s">
        <v>263</v>
      </c>
      <c r="E585" s="83" t="s">
        <v>264</v>
      </c>
      <c r="F585" s="83" t="s">
        <v>265</v>
      </c>
      <c r="G585" s="135" t="s">
        <v>266</v>
      </c>
      <c r="H585" s="83" t="s">
        <v>267</v>
      </c>
      <c r="I585" s="135" t="s">
        <v>1059</v>
      </c>
      <c r="K585" s="137" t="s">
        <v>1483</v>
      </c>
      <c r="L585" s="135" t="s">
        <v>1059</v>
      </c>
      <c r="M585" s="135" t="s">
        <v>1059</v>
      </c>
      <c r="O585" s="34" t="s">
        <v>1502</v>
      </c>
      <c r="P585" s="34" t="s">
        <v>243</v>
      </c>
      <c r="Q585" s="83">
        <v>2025</v>
      </c>
    </row>
    <row r="586" spans="1:17" ht="15" x14ac:dyDescent="0.2">
      <c r="A586" s="83"/>
      <c r="B586" s="83" t="s">
        <v>264</v>
      </c>
      <c r="C586" s="133" t="s">
        <v>697</v>
      </c>
      <c r="D586" s="134" t="s">
        <v>263</v>
      </c>
      <c r="E586" s="83" t="s">
        <v>264</v>
      </c>
      <c r="F586" s="83" t="s">
        <v>265</v>
      </c>
      <c r="G586" s="135" t="s">
        <v>266</v>
      </c>
      <c r="H586" s="83" t="s">
        <v>267</v>
      </c>
      <c r="I586" s="135" t="s">
        <v>1059</v>
      </c>
      <c r="K586" s="137" t="s">
        <v>1484</v>
      </c>
      <c r="L586" s="135" t="s">
        <v>1059</v>
      </c>
      <c r="M586" s="135" t="s">
        <v>1059</v>
      </c>
      <c r="O586" s="34" t="s">
        <v>1502</v>
      </c>
      <c r="P586" s="34" t="s">
        <v>243</v>
      </c>
      <c r="Q586" s="83">
        <v>2025</v>
      </c>
    </row>
    <row r="587" spans="1:17" ht="15" x14ac:dyDescent="0.2">
      <c r="A587" s="83"/>
      <c r="B587" s="83" t="s">
        <v>264</v>
      </c>
      <c r="C587" s="133" t="s">
        <v>698</v>
      </c>
      <c r="D587" s="134" t="s">
        <v>263</v>
      </c>
      <c r="E587" s="83" t="s">
        <v>264</v>
      </c>
      <c r="F587" s="83" t="s">
        <v>265</v>
      </c>
      <c r="G587" s="135" t="s">
        <v>266</v>
      </c>
      <c r="H587" s="83" t="s">
        <v>267</v>
      </c>
      <c r="I587" s="135" t="s">
        <v>1060</v>
      </c>
      <c r="K587" s="137" t="s">
        <v>1485</v>
      </c>
      <c r="L587" s="135" t="s">
        <v>1060</v>
      </c>
      <c r="M587" s="135" t="s">
        <v>1060</v>
      </c>
      <c r="O587" s="34" t="s">
        <v>1502</v>
      </c>
      <c r="P587" s="34" t="s">
        <v>243</v>
      </c>
      <c r="Q587" s="83">
        <v>2025</v>
      </c>
    </row>
    <row r="588" spans="1:17" ht="15" x14ac:dyDescent="0.2">
      <c r="A588" s="83"/>
      <c r="B588" s="83" t="s">
        <v>264</v>
      </c>
      <c r="C588" s="133" t="s">
        <v>699</v>
      </c>
      <c r="D588" s="134" t="s">
        <v>263</v>
      </c>
      <c r="E588" s="83" t="s">
        <v>264</v>
      </c>
      <c r="F588" s="83" t="s">
        <v>265</v>
      </c>
      <c r="G588" s="135" t="s">
        <v>266</v>
      </c>
      <c r="H588" s="83" t="s">
        <v>267</v>
      </c>
      <c r="I588" s="135" t="s">
        <v>1060</v>
      </c>
      <c r="K588" s="137" t="s">
        <v>1486</v>
      </c>
      <c r="L588" s="135" t="s">
        <v>1060</v>
      </c>
      <c r="M588" s="135" t="s">
        <v>1060</v>
      </c>
      <c r="O588" s="34" t="s">
        <v>1502</v>
      </c>
      <c r="P588" s="34" t="s">
        <v>243</v>
      </c>
      <c r="Q588" s="83">
        <v>2025</v>
      </c>
    </row>
    <row r="589" spans="1:17" ht="15" x14ac:dyDescent="0.2">
      <c r="A589" s="83"/>
      <c r="B589" s="83" t="s">
        <v>264</v>
      </c>
      <c r="C589" s="133" t="s">
        <v>700</v>
      </c>
      <c r="D589" s="134" t="s">
        <v>263</v>
      </c>
      <c r="E589" s="83" t="s">
        <v>264</v>
      </c>
      <c r="F589" s="83" t="s">
        <v>265</v>
      </c>
      <c r="G589" s="135" t="s">
        <v>266</v>
      </c>
      <c r="H589" s="83" t="s">
        <v>267</v>
      </c>
      <c r="I589" s="135" t="s">
        <v>1060</v>
      </c>
      <c r="K589" s="137" t="s">
        <v>1487</v>
      </c>
      <c r="L589" s="135" t="s">
        <v>1060</v>
      </c>
      <c r="M589" s="135" t="s">
        <v>1060</v>
      </c>
      <c r="O589" s="34" t="s">
        <v>1502</v>
      </c>
      <c r="P589" s="34" t="s">
        <v>243</v>
      </c>
      <c r="Q589" s="83">
        <v>2025</v>
      </c>
    </row>
    <row r="590" spans="1:17" ht="15" x14ac:dyDescent="0.2">
      <c r="A590" s="83"/>
      <c r="B590" s="83" t="s">
        <v>264</v>
      </c>
      <c r="C590" s="133" t="s">
        <v>701</v>
      </c>
      <c r="D590" s="134" t="s">
        <v>263</v>
      </c>
      <c r="E590" s="83" t="s">
        <v>264</v>
      </c>
      <c r="F590" s="83" t="s">
        <v>265</v>
      </c>
      <c r="G590" s="135" t="s">
        <v>273</v>
      </c>
      <c r="H590" s="83" t="s">
        <v>267</v>
      </c>
      <c r="I590" s="135" t="s">
        <v>1061</v>
      </c>
      <c r="K590" s="137" t="s">
        <v>1488</v>
      </c>
      <c r="L590" s="135" t="s">
        <v>1061</v>
      </c>
      <c r="M590" s="135" t="s">
        <v>1061</v>
      </c>
      <c r="O590" s="34" t="s">
        <v>1503</v>
      </c>
      <c r="P590" s="34" t="s">
        <v>243</v>
      </c>
      <c r="Q590" s="83">
        <v>2025</v>
      </c>
    </row>
  </sheetData>
  <mergeCells count="4">
    <mergeCell ref="A1:C1"/>
    <mergeCell ref="D1:I1"/>
    <mergeCell ref="L1:M1"/>
    <mergeCell ref="O1:Q1"/>
  </mergeCells>
  <phoneticPr fontId="10" type="noConversion"/>
  <dataValidations count="2">
    <dataValidation type="textLength" allowBlank="1" showInputMessage="1" showErrorMessage="1" error="Maximum of 5 characters only" sqref="C1:C3 C591:C1048576" xr:uid="{76280557-8257-4A74-8E9C-C310DE1A44D2}">
      <formula1>1</formula1>
      <formula2>5</formula2>
    </dataValidation>
    <dataValidation type="list" allowBlank="1" showInputMessage="1" showErrorMessage="1" sqref="A3:A590" xr:uid="{2B83F032-5C9F-4782-B5C2-1294A575D009}">
      <formula1>"F110, F-53"</formula1>
    </dataValidation>
  </dataValidations>
  <pageMargins left="0.7" right="0.7" top="0.75" bottom="0.75" header="0.3" footer="0.3"/>
  <pageSetup orientation="portrait" horizontalDpi="4294967295" verticalDpi="4294967295"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3D460-0F4B-4BCA-8245-0BBF567ABE41}">
  <sheetPr codeName="Sheet1">
    <tabColor rgb="FF002060"/>
  </sheetPr>
  <dimension ref="A1:Q172"/>
  <sheetViews>
    <sheetView tabSelected="1" zoomScaleNormal="100" workbookViewId="0">
      <selection activeCell="D17" sqref="D17"/>
    </sheetView>
  </sheetViews>
  <sheetFormatPr defaultRowHeight="15" x14ac:dyDescent="0.25"/>
  <cols>
    <col min="1" max="1" width="26.5703125" style="3" customWidth="1"/>
    <col min="2" max="2" width="30.28515625" style="83" customWidth="1"/>
    <col min="3" max="3" width="7.28515625" style="83" customWidth="1"/>
    <col min="4" max="4" width="18.85546875" style="83" customWidth="1"/>
    <col min="5" max="5" width="85.42578125" style="103" customWidth="1"/>
    <col min="6" max="6" width="20.28515625" style="83" bestFit="1" customWidth="1"/>
    <col min="7" max="7" width="19.28515625" style="3" customWidth="1"/>
    <col min="8" max="8" width="19.42578125" style="83" bestFit="1" customWidth="1"/>
    <col min="9" max="9" width="19.7109375" style="83" bestFit="1" customWidth="1"/>
    <col min="13" max="13" width="10.140625" bestFit="1" customWidth="1"/>
    <col min="17" max="19" width="8.85546875" customWidth="1"/>
  </cols>
  <sheetData>
    <row r="1" spans="1:17" s="1" customFormat="1" x14ac:dyDescent="0.25">
      <c r="A1" s="144" t="s">
        <v>33</v>
      </c>
      <c r="B1" s="144"/>
      <c r="C1" s="144"/>
      <c r="D1" s="144"/>
      <c r="E1" s="144"/>
      <c r="F1" s="144"/>
      <c r="G1" s="144"/>
      <c r="H1" s="144"/>
      <c r="I1" s="144"/>
      <c r="J1" s="144"/>
      <c r="K1" s="144"/>
      <c r="L1" s="144"/>
      <c r="M1" s="144"/>
      <c r="N1" s="144"/>
      <c r="O1" s="144"/>
    </row>
    <row r="2" spans="1:17" s="1" customFormat="1" ht="15" customHeight="1" x14ac:dyDescent="0.25">
      <c r="A2" s="145" t="s">
        <v>34</v>
      </c>
      <c r="B2" s="145"/>
      <c r="C2" s="145"/>
      <c r="D2" s="145"/>
      <c r="E2" s="145"/>
      <c r="F2" s="97"/>
      <c r="G2" s="91" t="s">
        <v>35</v>
      </c>
      <c r="H2" s="97"/>
      <c r="I2" s="97"/>
      <c r="J2" s="92"/>
      <c r="K2" s="92"/>
      <c r="L2" s="92"/>
      <c r="M2" s="92"/>
      <c r="N2" s="92"/>
      <c r="O2" s="92"/>
      <c r="Q2" s="89"/>
    </row>
    <row r="3" spans="1:17" s="1" customFormat="1" x14ac:dyDescent="0.25">
      <c r="A3" s="145"/>
      <c r="B3" s="145"/>
      <c r="C3" s="145"/>
      <c r="D3" s="145"/>
      <c r="E3" s="145"/>
      <c r="F3" s="97"/>
      <c r="G3" s="91" t="s">
        <v>36</v>
      </c>
      <c r="H3" s="97"/>
      <c r="I3" s="97"/>
      <c r="J3" s="92"/>
      <c r="K3" s="92"/>
      <c r="L3" s="92"/>
      <c r="M3" s="92"/>
      <c r="N3" s="92"/>
      <c r="O3" s="92"/>
    </row>
    <row r="4" spans="1:17" s="1" customFormat="1" x14ac:dyDescent="0.25">
      <c r="A4" s="145"/>
      <c r="B4" s="145"/>
      <c r="C4" s="145"/>
      <c r="D4" s="145"/>
      <c r="E4" s="145"/>
      <c r="F4" s="97"/>
      <c r="G4" s="91" t="s">
        <v>37</v>
      </c>
      <c r="H4" s="97"/>
      <c r="I4" s="97"/>
      <c r="J4" s="92"/>
      <c r="K4" s="92"/>
      <c r="L4" s="92"/>
      <c r="M4" s="92"/>
      <c r="N4" s="92"/>
      <c r="O4" s="92"/>
    </row>
    <row r="5" spans="1:17" s="1" customFormat="1" x14ac:dyDescent="0.25">
      <c r="A5" s="2" t="s">
        <v>38</v>
      </c>
      <c r="B5" s="82"/>
      <c r="C5" s="82"/>
      <c r="D5" s="82"/>
      <c r="E5" s="100"/>
      <c r="F5" s="82"/>
      <c r="G5" s="91" t="s">
        <v>39</v>
      </c>
      <c r="H5" s="82"/>
      <c r="I5" s="82"/>
    </row>
    <row r="6" spans="1:17" s="1" customFormat="1" ht="15.75" x14ac:dyDescent="0.25">
      <c r="B6" s="90" t="s">
        <v>1508</v>
      </c>
      <c r="C6" s="82"/>
      <c r="D6" s="84"/>
      <c r="E6" s="101"/>
      <c r="F6" s="82"/>
      <c r="G6" s="94"/>
      <c r="H6" s="82"/>
      <c r="I6" s="116"/>
    </row>
    <row r="7" spans="1:17" s="1" customFormat="1" ht="15.75" x14ac:dyDescent="0.25">
      <c r="A7" s="90" t="s">
        <v>261</v>
      </c>
      <c r="B7" s="117" t="s">
        <v>40</v>
      </c>
      <c r="C7" s="82"/>
      <c r="D7" s="84" t="s">
        <v>41</v>
      </c>
      <c r="E7" s="101" t="s">
        <v>270</v>
      </c>
      <c r="F7" s="82"/>
      <c r="G7" s="94"/>
      <c r="H7" s="82"/>
      <c r="I7" s="82"/>
    </row>
    <row r="8" spans="1:17" s="1" customFormat="1" ht="18.75" customHeight="1" x14ac:dyDescent="0.25">
      <c r="A8" s="88" t="s">
        <v>262</v>
      </c>
      <c r="B8" s="82"/>
      <c r="C8" s="82"/>
      <c r="D8" s="84"/>
      <c r="E8" s="100"/>
      <c r="F8" s="82"/>
      <c r="G8" s="94"/>
      <c r="H8" s="82"/>
      <c r="I8" s="82"/>
    </row>
    <row r="9" spans="1:17" s="1" customFormat="1" ht="15.75" x14ac:dyDescent="0.25">
      <c r="A9" s="85" t="s">
        <v>1504</v>
      </c>
      <c r="B9" s="82"/>
      <c r="C9" s="82"/>
      <c r="D9" s="82"/>
      <c r="E9" s="100"/>
      <c r="F9" s="82"/>
      <c r="G9" s="94"/>
      <c r="H9" s="82"/>
      <c r="I9" s="82"/>
    </row>
    <row r="10" spans="1:17" s="4" customFormat="1" ht="12.75" x14ac:dyDescent="0.25">
      <c r="A10" s="87" t="s">
        <v>14</v>
      </c>
      <c r="B10" s="87" t="s">
        <v>42</v>
      </c>
      <c r="C10" s="142" t="s">
        <v>35</v>
      </c>
      <c r="D10" s="143"/>
      <c r="E10" s="102" t="s">
        <v>43</v>
      </c>
      <c r="F10" s="93" t="s">
        <v>44</v>
      </c>
      <c r="G10" s="93" t="s">
        <v>45</v>
      </c>
      <c r="H10" s="87" t="s">
        <v>46</v>
      </c>
      <c r="I10" s="93" t="s">
        <v>47</v>
      </c>
      <c r="J10" s="86"/>
      <c r="K10" s="86"/>
      <c r="L10" s="86"/>
      <c r="M10" s="86"/>
      <c r="N10" s="86"/>
      <c r="O10" s="86"/>
      <c r="P10" s="86"/>
      <c r="Q10" s="86"/>
    </row>
    <row r="11" spans="1:17" x14ac:dyDescent="0.25">
      <c r="A11" s="3">
        <v>5000109</v>
      </c>
      <c r="B11" s="83" t="s">
        <v>1505</v>
      </c>
      <c r="C11" s="83">
        <v>3</v>
      </c>
      <c r="D11" s="83" t="s">
        <v>1510</v>
      </c>
      <c r="E11" s="103" t="s">
        <v>1511</v>
      </c>
    </row>
    <row r="172" spans="1:5" x14ac:dyDescent="0.25">
      <c r="A172" s="3">
        <v>10249731</v>
      </c>
      <c r="B172" s="83" t="s">
        <v>276</v>
      </c>
      <c r="C172" s="83">
        <v>3</v>
      </c>
      <c r="D172" s="83" t="s">
        <v>1510</v>
      </c>
      <c r="E172" s="103" t="s">
        <v>1512</v>
      </c>
    </row>
  </sheetData>
  <dataConsolidate/>
  <mergeCells count="3">
    <mergeCell ref="C10:D10"/>
    <mergeCell ref="A1:O1"/>
    <mergeCell ref="A2:E4"/>
  </mergeCells>
  <phoneticPr fontId="10" type="noConversion"/>
  <dataValidations xWindow="120" yWindow="277" count="4">
    <dataValidation type="list" allowBlank="1" showInputMessage="1" showErrorMessage="1" prompt="Select SAP Environment" sqref="A8" xr:uid="{80C65752-7140-4A9C-B3E1-34FFF149EC28}">
      <formula1>"RA4900,RA3900,RA7900,RS5900"</formula1>
    </dataValidation>
    <dataValidation type="list" allowBlank="1" showInputMessage="1" showErrorMessage="1" prompt="Enable/ Disable Screenshot Function" sqref="A7" xr:uid="{EDCAC330-3082-4886-83A4-F16CEE31FC0C}">
      <formula1>"ScreenShot Enabled, ScreenShot Disabled"</formula1>
    </dataValidation>
    <dataValidation type="list" allowBlank="1" showInputMessage="1" showErrorMessage="1" prompt="Enable/ Disable HnM Integration" sqref="B7" xr:uid="{81240CCF-0FB0-4A24-811A-916127167E35}">
      <formula1>"HnM Enabled, HnM Disabled"</formula1>
    </dataValidation>
    <dataValidation type="list" allowBlank="1" showInputMessage="1" showErrorMessage="1" prompt="Automation Title" sqref="B6" xr:uid="{CB235EBF-B5F7-411C-A68D-B92486E5A86A}">
      <formula1>"BuyNow, RTP"</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dule1.StartProcessing">
                <anchor moveWithCells="1" sizeWithCells="1">
                  <from>
                    <xdr:col>1</xdr:col>
                    <xdr:colOff>171450</xdr:colOff>
                    <xdr:row>7</xdr:row>
                    <xdr:rowOff>66675</xdr:rowOff>
                  </from>
                  <to>
                    <xdr:col>1</xdr:col>
                    <xdr:colOff>1905000</xdr:colOff>
                    <xdr:row>8</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9AACD-A2BB-4296-A4A0-7069762755E8}">
  <sheetPr codeName="Sheet3"/>
  <dimension ref="A1:K19"/>
  <sheetViews>
    <sheetView workbookViewId="0">
      <selection activeCell="F15" sqref="F15:F16"/>
    </sheetView>
  </sheetViews>
  <sheetFormatPr defaultRowHeight="15" x14ac:dyDescent="0.25"/>
  <cols>
    <col min="1" max="1" width="16.85546875" customWidth="1"/>
    <col min="2" max="2" width="9.140625" customWidth="1"/>
    <col min="4" max="4" width="68.140625" bestFit="1" customWidth="1"/>
    <col min="6" max="6" width="18.85546875" bestFit="1" customWidth="1"/>
    <col min="12" max="12" width="14.7109375" bestFit="1" customWidth="1"/>
  </cols>
  <sheetData>
    <row r="1" spans="1:11" x14ac:dyDescent="0.25">
      <c r="A1" t="s">
        <v>6</v>
      </c>
      <c r="B1">
        <v>1</v>
      </c>
      <c r="C1" t="str">
        <f t="shared" ref="C1" si="0">"Sheet1"</f>
        <v>Sheet1</v>
      </c>
      <c r="D1" t="str">
        <f t="shared" ref="D1:D15" si="1">A1&amp;" = ThisWorkbook.Sheets(" &amp;  C1 &amp; ").Cells(iRow, " &amp; B1 &amp; ").Value"</f>
        <v>Tcode = ThisWorkbook.Sheets(Sheet1).Cells(iRow, 1).Value</v>
      </c>
      <c r="F1" t="str">
        <f>"Dim "&amp;A1</f>
        <v>Dim Tcode</v>
      </c>
    </row>
    <row r="2" spans="1:11" x14ac:dyDescent="0.25">
      <c r="A2" t="s">
        <v>48</v>
      </c>
      <c r="B2">
        <f>B1+1</f>
        <v>2</v>
      </c>
      <c r="C2" t="str">
        <f>C1</f>
        <v>Sheet1</v>
      </c>
      <c r="D2" t="str">
        <f t="shared" si="1"/>
        <v>RunDate = ThisWorkbook.Sheets(Sheet1).Cells(iRow, 2).Value</v>
      </c>
      <c r="F2" t="str">
        <f t="shared" ref="F2:F15" si="2">"Dim "&amp;A2</f>
        <v>Dim RunDate</v>
      </c>
    </row>
    <row r="3" spans="1:11" x14ac:dyDescent="0.25">
      <c r="A3" t="s">
        <v>49</v>
      </c>
      <c r="B3">
        <f t="shared" ref="B3:B19" si="3">B2+1</f>
        <v>3</v>
      </c>
      <c r="C3" t="str">
        <f t="shared" ref="C3:C19" si="4">C2</f>
        <v>Sheet1</v>
      </c>
      <c r="D3" t="str">
        <f t="shared" si="1"/>
        <v>RunId = ThisWorkbook.Sheets(Sheet1).Cells(iRow, 3).Value</v>
      </c>
      <c r="F3" t="str">
        <f t="shared" si="2"/>
        <v>Dim RunId</v>
      </c>
    </row>
    <row r="4" spans="1:11" x14ac:dyDescent="0.25">
      <c r="A4" t="s">
        <v>50</v>
      </c>
      <c r="B4">
        <f t="shared" si="3"/>
        <v>4</v>
      </c>
      <c r="C4" t="str">
        <f t="shared" si="4"/>
        <v>Sheet1</v>
      </c>
      <c r="D4" t="str">
        <f t="shared" si="1"/>
        <v>PostingDate = ThisWorkbook.Sheets(Sheet1).Cells(iRow, 4).Value</v>
      </c>
      <c r="F4" t="str">
        <f t="shared" si="2"/>
        <v>Dim PostingDate</v>
      </c>
    </row>
    <row r="5" spans="1:11" x14ac:dyDescent="0.25">
      <c r="A5" t="s">
        <v>51</v>
      </c>
      <c r="B5">
        <f t="shared" si="3"/>
        <v>5</v>
      </c>
      <c r="C5" t="str">
        <f t="shared" si="4"/>
        <v>Sheet1</v>
      </c>
      <c r="D5" t="str">
        <f t="shared" si="1"/>
        <v>DocsISRNumberedUpTo = ThisWorkbook.Sheets(Sheet1).Cells(iRow, 5).Value</v>
      </c>
      <c r="F5" t="str">
        <f t="shared" si="2"/>
        <v>Dim DocsISRNumberedUpTo</v>
      </c>
    </row>
    <row r="6" spans="1:11" x14ac:dyDescent="0.25">
      <c r="A6" t="s">
        <v>52</v>
      </c>
      <c r="B6">
        <f t="shared" si="3"/>
        <v>6</v>
      </c>
      <c r="C6" t="str">
        <f t="shared" si="4"/>
        <v>Sheet1</v>
      </c>
      <c r="D6" t="str">
        <f t="shared" si="1"/>
        <v>NextPDate = ThisWorkbook.Sheets(Sheet1).Cells(iRow, 6).Value</v>
      </c>
      <c r="F6" t="str">
        <f t="shared" si="2"/>
        <v>Dim NextPDate</v>
      </c>
    </row>
    <row r="7" spans="1:11" x14ac:dyDescent="0.25">
      <c r="A7" t="s">
        <v>53</v>
      </c>
      <c r="B7">
        <f t="shared" si="3"/>
        <v>7</v>
      </c>
      <c r="C7" t="str">
        <f t="shared" si="4"/>
        <v>Sheet1</v>
      </c>
      <c r="D7" t="str">
        <f t="shared" si="1"/>
        <v>CoCd = ThisWorkbook.Sheets(Sheet1).Cells(iRow, 7).Value</v>
      </c>
      <c r="F7" t="str">
        <f t="shared" si="2"/>
        <v>Dim CoCd</v>
      </c>
    </row>
    <row r="8" spans="1:11" x14ac:dyDescent="0.25">
      <c r="A8" t="s">
        <v>54</v>
      </c>
      <c r="B8">
        <f t="shared" si="3"/>
        <v>8</v>
      </c>
      <c r="C8" t="str">
        <f t="shared" si="4"/>
        <v>Sheet1</v>
      </c>
      <c r="D8" t="str">
        <f t="shared" si="1"/>
        <v>PmtMTDS = ThisWorkbook.Sheets(Sheet1).Cells(iRow, 8).Value</v>
      </c>
      <c r="F8" t="str">
        <f t="shared" si="2"/>
        <v>Dim PmtMTDS</v>
      </c>
    </row>
    <row r="9" spans="1:11" x14ac:dyDescent="0.25">
      <c r="A9" t="s">
        <v>55</v>
      </c>
      <c r="B9">
        <f t="shared" si="3"/>
        <v>9</v>
      </c>
      <c r="C9" t="str">
        <f t="shared" si="4"/>
        <v>Sheet1</v>
      </c>
      <c r="D9" t="str">
        <f t="shared" si="1"/>
        <v>VendorId = ThisWorkbook.Sheets(Sheet1).Cells(iRow, 9).Value</v>
      </c>
      <c r="F9" t="str">
        <f t="shared" si="2"/>
        <v>Dim VendorId</v>
      </c>
    </row>
    <row r="10" spans="1:11" x14ac:dyDescent="0.25">
      <c r="A10" t="s">
        <v>56</v>
      </c>
      <c r="B10">
        <f t="shared" si="3"/>
        <v>10</v>
      </c>
      <c r="C10" t="str">
        <f t="shared" si="4"/>
        <v>Sheet1</v>
      </c>
      <c r="D10" t="str">
        <f t="shared" si="1"/>
        <v>BranchAlloc = ThisWorkbook.Sheets(Sheet1).Cells(iRow, 10).Value</v>
      </c>
      <c r="F10" t="str">
        <f t="shared" si="2"/>
        <v>Dim BranchAlloc</v>
      </c>
    </row>
    <row r="11" spans="1:11" x14ac:dyDescent="0.25">
      <c r="A11" t="s">
        <v>57</v>
      </c>
      <c r="B11">
        <f t="shared" si="3"/>
        <v>11</v>
      </c>
      <c r="C11" t="str">
        <f t="shared" si="4"/>
        <v>Sheet1</v>
      </c>
      <c r="D11" t="str">
        <f t="shared" si="1"/>
        <v>DocNums = ThisWorkbook.Sheets(Sheet1).Cells(iRow, 11).Value</v>
      </c>
      <c r="F11" t="str">
        <f t="shared" si="2"/>
        <v>Dim DocNums</v>
      </c>
      <c r="K11" t="s">
        <v>58</v>
      </c>
    </row>
    <row r="12" spans="1:11" x14ac:dyDescent="0.25">
      <c r="B12">
        <f t="shared" si="3"/>
        <v>12</v>
      </c>
      <c r="C12" t="str">
        <f t="shared" si="4"/>
        <v>Sheet1</v>
      </c>
      <c r="D12" t="str">
        <f t="shared" si="1"/>
        <v xml:space="preserve"> = ThisWorkbook.Sheets(Sheet1).Cells(iRow, 12).Value</v>
      </c>
      <c r="F12" t="str">
        <f t="shared" si="2"/>
        <v xml:space="preserve">Dim </v>
      </c>
    </row>
    <row r="13" spans="1:11" x14ac:dyDescent="0.25">
      <c r="B13">
        <f t="shared" si="3"/>
        <v>13</v>
      </c>
      <c r="C13" t="str">
        <f t="shared" si="4"/>
        <v>Sheet1</v>
      </c>
      <c r="D13" t="str">
        <f t="shared" si="1"/>
        <v xml:space="preserve"> = ThisWorkbook.Sheets(Sheet1).Cells(iRow, 13).Value</v>
      </c>
      <c r="F13" t="str">
        <f t="shared" si="2"/>
        <v xml:space="preserve">Dim </v>
      </c>
    </row>
    <row r="14" spans="1:11" x14ac:dyDescent="0.25">
      <c r="A14" t="s">
        <v>19</v>
      </c>
      <c r="B14">
        <f t="shared" si="3"/>
        <v>14</v>
      </c>
      <c r="C14" t="str">
        <f t="shared" si="4"/>
        <v>Sheet1</v>
      </c>
      <c r="D14" t="str">
        <f t="shared" si="1"/>
        <v>RFFOEDI1  = ThisWorkbook.Sheets(Sheet1).Cells(iRow, 14).Value</v>
      </c>
      <c r="F14" t="str">
        <f t="shared" si="2"/>
        <v xml:space="preserve">Dim RFFOEDI1 </v>
      </c>
    </row>
    <row r="15" spans="1:11" x14ac:dyDescent="0.25">
      <c r="A15" t="s">
        <v>20</v>
      </c>
      <c r="B15">
        <f t="shared" si="3"/>
        <v>15</v>
      </c>
      <c r="C15" t="str">
        <f t="shared" si="4"/>
        <v>Sheet1</v>
      </c>
      <c r="D15" t="str">
        <f t="shared" si="1"/>
        <v>Amount = ThisWorkbook.Sheets(Sheet1).Cells(iRow, 15).Value</v>
      </c>
      <c r="F15" t="str">
        <f t="shared" si="2"/>
        <v>Dim Amount</v>
      </c>
    </row>
    <row r="16" spans="1:11" x14ac:dyDescent="0.25">
      <c r="A16" t="s">
        <v>59</v>
      </c>
      <c r="B16">
        <f t="shared" si="3"/>
        <v>16</v>
      </c>
      <c r="C16" t="str">
        <f t="shared" si="4"/>
        <v>Sheet1</v>
      </c>
      <c r="D16" t="str">
        <f t="shared" ref="D16:D19" si="5">A16&amp;" = ThisWorkbook.Sheets(" &amp;  C16 &amp; ").Cells(iRow, " &amp; B16 &amp; ").Value"</f>
        <v>Curr = ThisWorkbook.Sheets(Sheet1).Cells(iRow, 16).Value</v>
      </c>
      <c r="F16" t="str">
        <f t="shared" ref="F16:F19" si="6">"Dim "&amp;A16</f>
        <v>Dim Curr</v>
      </c>
    </row>
    <row r="17" spans="2:6" x14ac:dyDescent="0.25">
      <c r="B17">
        <f t="shared" si="3"/>
        <v>17</v>
      </c>
      <c r="C17" t="str">
        <f t="shared" si="4"/>
        <v>Sheet1</v>
      </c>
      <c r="D17" t="str">
        <f t="shared" si="5"/>
        <v xml:space="preserve"> = ThisWorkbook.Sheets(Sheet1).Cells(iRow, 17).Value</v>
      </c>
      <c r="F17" t="str">
        <f t="shared" si="6"/>
        <v xml:space="preserve">Dim </v>
      </c>
    </row>
    <row r="18" spans="2:6" x14ac:dyDescent="0.25">
      <c r="B18">
        <f t="shared" si="3"/>
        <v>18</v>
      </c>
      <c r="C18" t="str">
        <f t="shared" si="4"/>
        <v>Sheet1</v>
      </c>
      <c r="D18" t="str">
        <f t="shared" si="5"/>
        <v xml:space="preserve"> = ThisWorkbook.Sheets(Sheet1).Cells(iRow, 18).Value</v>
      </c>
      <c r="F18" t="str">
        <f t="shared" si="6"/>
        <v xml:space="preserve">Dim </v>
      </c>
    </row>
    <row r="19" spans="2:6" x14ac:dyDescent="0.25">
      <c r="B19">
        <f t="shared" si="3"/>
        <v>19</v>
      </c>
      <c r="C19" t="str">
        <f t="shared" si="4"/>
        <v>Sheet1</v>
      </c>
      <c r="D19" t="str">
        <f t="shared" si="5"/>
        <v xml:space="preserve"> = ThisWorkbook.Sheets(Sheet1).Cells(iRow, 19).Value</v>
      </c>
      <c r="F19" t="str">
        <f t="shared" si="6"/>
        <v xml:space="preserve">Dim </v>
      </c>
    </row>
  </sheetData>
  <sortState xmlns:xlrd2="http://schemas.microsoft.com/office/spreadsheetml/2017/richdata2" ref="K1:M28">
    <sortCondition ref="M1:M28"/>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FF442-8323-4689-BD14-BC9ED5DFDD41}">
  <sheetPr codeName="Sheet4"/>
  <dimension ref="A1:A12"/>
  <sheetViews>
    <sheetView workbookViewId="0">
      <selection activeCell="F15" sqref="F15:F16"/>
    </sheetView>
  </sheetViews>
  <sheetFormatPr defaultRowHeight="15" x14ac:dyDescent="0.25"/>
  <cols>
    <col min="1" max="1" width="69.85546875" bestFit="1" customWidth="1"/>
  </cols>
  <sheetData>
    <row r="1" spans="1:1" x14ac:dyDescent="0.25">
      <c r="A1" t="s">
        <v>60</v>
      </c>
    </row>
    <row r="2" spans="1:1" x14ac:dyDescent="0.25">
      <c r="A2" t="s">
        <v>61</v>
      </c>
    </row>
    <row r="3" spans="1:1" x14ac:dyDescent="0.25">
      <c r="A3" t="s">
        <v>62</v>
      </c>
    </row>
    <row r="4" spans="1:1" x14ac:dyDescent="0.25">
      <c r="A4" t="s">
        <v>63</v>
      </c>
    </row>
    <row r="5" spans="1:1" x14ac:dyDescent="0.25">
      <c r="A5" t="s">
        <v>64</v>
      </c>
    </row>
    <row r="6" spans="1:1" x14ac:dyDescent="0.25">
      <c r="A6" t="s">
        <v>65</v>
      </c>
    </row>
    <row r="7" spans="1:1" x14ac:dyDescent="0.25">
      <c r="A7" t="s">
        <v>66</v>
      </c>
    </row>
    <row r="8" spans="1:1" x14ac:dyDescent="0.25">
      <c r="A8" t="s">
        <v>67</v>
      </c>
    </row>
    <row r="9" spans="1:1" x14ac:dyDescent="0.25">
      <c r="A9" t="s">
        <v>68</v>
      </c>
    </row>
    <row r="10" spans="1:1" x14ac:dyDescent="0.25">
      <c r="A10" t="s">
        <v>69</v>
      </c>
    </row>
    <row r="11" spans="1:1" x14ac:dyDescent="0.25">
      <c r="A11" t="s">
        <v>70</v>
      </c>
    </row>
    <row r="12" spans="1:1" x14ac:dyDescent="0.25">
      <c r="A12" t="s">
        <v>71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B475-5B21-4ED6-A3A5-A1C91D009B29}">
  <sheetPr codeName="Sheet10"/>
  <dimension ref="A1:BG31"/>
  <sheetViews>
    <sheetView workbookViewId="0">
      <selection activeCell="F15" sqref="F15:F16"/>
    </sheetView>
  </sheetViews>
  <sheetFormatPr defaultRowHeight="15" x14ac:dyDescent="0.25"/>
  <cols>
    <col min="1" max="1" width="6.28515625" bestFit="1" customWidth="1"/>
    <col min="2" max="2" width="9.85546875" bestFit="1" customWidth="1"/>
    <col min="3" max="3" width="20.85546875" bestFit="1" customWidth="1"/>
    <col min="4" max="4" width="12.140625" bestFit="1" customWidth="1"/>
    <col min="5" max="5" width="18" bestFit="1" customWidth="1"/>
    <col min="6" max="6" width="11.7109375" bestFit="1" customWidth="1"/>
    <col min="7" max="7" width="5.28515625" bestFit="1" customWidth="1"/>
    <col min="8" max="8" width="10.5703125" bestFit="1" customWidth="1"/>
    <col min="9" max="9" width="10" bestFit="1" customWidth="1"/>
    <col min="10" max="10" width="10.5703125" bestFit="1" customWidth="1"/>
    <col min="11" max="11" width="13.85546875" bestFit="1" customWidth="1"/>
    <col min="12" max="12" width="11.140625" bestFit="1" customWidth="1"/>
    <col min="13" max="13" width="9.85546875" bestFit="1" customWidth="1"/>
    <col min="14" max="14" width="12.7109375" bestFit="1" customWidth="1"/>
    <col min="17" max="17" width="11" bestFit="1" customWidth="1"/>
  </cols>
  <sheetData>
    <row r="1" spans="1:52" ht="15.75" customHeight="1" x14ac:dyDescent="0.25">
      <c r="A1" s="146" t="s">
        <v>0</v>
      </c>
      <c r="B1" s="146"/>
      <c r="C1" s="147"/>
      <c r="D1" s="148" t="s">
        <v>1</v>
      </c>
      <c r="E1" s="148"/>
      <c r="F1" s="148"/>
      <c r="G1" s="148"/>
      <c r="H1" s="148"/>
      <c r="I1" s="148"/>
      <c r="J1" s="104"/>
      <c r="K1" s="105" t="s">
        <v>2</v>
      </c>
      <c r="L1" s="149" t="s">
        <v>3</v>
      </c>
      <c r="M1" s="149"/>
      <c r="N1" s="105" t="s">
        <v>4</v>
      </c>
      <c r="O1" s="150" t="s">
        <v>72</v>
      </c>
      <c r="P1" s="151"/>
      <c r="Q1" s="152"/>
    </row>
    <row r="2" spans="1:52" x14ac:dyDescent="0.25">
      <c r="A2" s="106" t="s">
        <v>6</v>
      </c>
      <c r="B2" s="106" t="s">
        <v>7</v>
      </c>
      <c r="C2" s="106" t="s">
        <v>8</v>
      </c>
      <c r="D2" s="107" t="s">
        <v>9</v>
      </c>
      <c r="E2" s="107" t="s">
        <v>10</v>
      </c>
      <c r="F2" s="107" t="s">
        <v>11</v>
      </c>
      <c r="G2" s="108" t="s">
        <v>12</v>
      </c>
      <c r="H2" s="107" t="s">
        <v>13</v>
      </c>
      <c r="I2" s="107" t="s">
        <v>14</v>
      </c>
      <c r="J2" s="107" t="s">
        <v>15</v>
      </c>
      <c r="K2" s="107" t="s">
        <v>16</v>
      </c>
      <c r="L2" s="107" t="s">
        <v>17</v>
      </c>
      <c r="M2" s="107" t="s">
        <v>18</v>
      </c>
      <c r="N2" s="107" t="s">
        <v>19</v>
      </c>
      <c r="O2" s="107" t="s">
        <v>20</v>
      </c>
      <c r="P2" s="107" t="s">
        <v>21</v>
      </c>
      <c r="Q2" s="107"/>
    </row>
    <row r="3" spans="1:52" x14ac:dyDescent="0.25">
      <c r="A3" s="109" t="s">
        <v>23</v>
      </c>
      <c r="B3" s="109" t="s">
        <v>73</v>
      </c>
      <c r="C3" s="109" t="s">
        <v>25</v>
      </c>
      <c r="D3" s="109" t="s">
        <v>73</v>
      </c>
      <c r="E3" s="109" t="s">
        <v>74</v>
      </c>
      <c r="F3" s="109" t="s">
        <v>74</v>
      </c>
      <c r="G3" s="110" t="s">
        <v>75</v>
      </c>
      <c r="H3" s="109" t="s">
        <v>76</v>
      </c>
      <c r="I3" s="109">
        <v>100529122</v>
      </c>
      <c r="J3" s="109"/>
      <c r="K3" s="111" t="s">
        <v>77</v>
      </c>
      <c r="L3" s="112"/>
      <c r="M3" s="112"/>
      <c r="N3" s="113"/>
      <c r="O3" s="111" t="s">
        <v>78</v>
      </c>
      <c r="P3" s="111" t="s">
        <v>79</v>
      </c>
      <c r="Q3" s="111"/>
    </row>
    <row r="4" spans="1:52" x14ac:dyDescent="0.25">
      <c r="A4" s="114" t="s">
        <v>23</v>
      </c>
      <c r="B4" s="114" t="s">
        <v>80</v>
      </c>
      <c r="C4" s="115" t="s">
        <v>81</v>
      </c>
      <c r="D4" s="114" t="s">
        <v>80</v>
      </c>
      <c r="E4" s="115" t="s">
        <v>74</v>
      </c>
      <c r="F4" s="115" t="s">
        <v>74</v>
      </c>
      <c r="G4" s="115">
        <v>7900</v>
      </c>
      <c r="H4" s="115" t="s">
        <v>82</v>
      </c>
      <c r="I4" s="114">
        <v>100531402</v>
      </c>
      <c r="J4" s="115" t="s">
        <v>83</v>
      </c>
      <c r="K4" s="114" t="s">
        <v>84</v>
      </c>
      <c r="L4" s="115"/>
      <c r="M4" s="115"/>
      <c r="N4" s="115"/>
      <c r="O4" s="115" t="s">
        <v>85</v>
      </c>
      <c r="P4" s="115" t="s">
        <v>79</v>
      </c>
      <c r="Q4" s="115"/>
    </row>
    <row r="5" spans="1:52" x14ac:dyDescent="0.25">
      <c r="A5" s="114" t="s">
        <v>23</v>
      </c>
      <c r="B5" s="114" t="s">
        <v>80</v>
      </c>
      <c r="C5" s="115" t="s">
        <v>81</v>
      </c>
      <c r="D5" s="114" t="s">
        <v>80</v>
      </c>
      <c r="E5" s="115" t="s">
        <v>74</v>
      </c>
      <c r="F5" s="115" t="s">
        <v>74</v>
      </c>
      <c r="G5" s="115">
        <v>7900</v>
      </c>
      <c r="H5" s="115" t="s">
        <v>82</v>
      </c>
      <c r="I5" s="114" t="s">
        <v>86</v>
      </c>
      <c r="J5" s="115" t="s">
        <v>83</v>
      </c>
      <c r="K5" s="114" t="s">
        <v>87</v>
      </c>
      <c r="L5" s="115"/>
      <c r="M5" s="115"/>
      <c r="N5" s="115"/>
      <c r="O5" s="115" t="s">
        <v>85</v>
      </c>
      <c r="P5" s="115" t="s">
        <v>79</v>
      </c>
      <c r="Q5" s="115"/>
    </row>
    <row r="6" spans="1:52" x14ac:dyDescent="0.25">
      <c r="A6" s="114" t="s">
        <v>88</v>
      </c>
      <c r="B6" s="114" t="s">
        <v>80</v>
      </c>
      <c r="C6" s="115" t="s">
        <v>89</v>
      </c>
      <c r="D6" s="114" t="s">
        <v>80</v>
      </c>
      <c r="E6" s="115" t="s">
        <v>74</v>
      </c>
      <c r="F6" s="115" t="s">
        <v>74</v>
      </c>
      <c r="G6" s="115">
        <v>7900</v>
      </c>
      <c r="H6" s="115" t="s">
        <v>90</v>
      </c>
      <c r="I6" s="114">
        <v>100531402</v>
      </c>
      <c r="J6" s="115" t="s">
        <v>83</v>
      </c>
      <c r="K6" s="114" t="s">
        <v>84</v>
      </c>
      <c r="L6" s="115"/>
      <c r="M6" s="115"/>
      <c r="N6" s="115"/>
      <c r="O6" s="115" t="s">
        <v>85</v>
      </c>
      <c r="P6" s="115" t="s">
        <v>79</v>
      </c>
      <c r="Q6" s="115"/>
    </row>
    <row r="7" spans="1:52" s="11" customFormat="1" ht="15.75" x14ac:dyDescent="0.25">
      <c r="C7" s="77"/>
      <c r="D7" s="77"/>
      <c r="G7" s="78"/>
      <c r="O7" s="79"/>
      <c r="R7" s="80"/>
      <c r="AY7" s="78"/>
      <c r="AZ7" s="78"/>
    </row>
    <row r="8" spans="1:52" s="96" customFormat="1" ht="11.25" x14ac:dyDescent="0.2"/>
    <row r="9" spans="1:52" s="96" customFormat="1" ht="11.25" x14ac:dyDescent="0.2"/>
    <row r="10" spans="1:52" s="96" customFormat="1" ht="11.25" x14ac:dyDescent="0.2"/>
    <row r="11" spans="1:52" s="96" customFormat="1" ht="11.25" x14ac:dyDescent="0.2"/>
    <row r="12" spans="1:52" s="96" customFormat="1" ht="11.25" x14ac:dyDescent="0.2"/>
    <row r="13" spans="1:52" s="96" customFormat="1" ht="11.25" x14ac:dyDescent="0.2"/>
    <row r="14" spans="1:52" s="96" customFormat="1" ht="11.25" x14ac:dyDescent="0.2"/>
    <row r="15" spans="1:52" s="96" customFormat="1" ht="11.25" x14ac:dyDescent="0.2"/>
    <row r="16" spans="1:52" s="96" customFormat="1" ht="11.25" x14ac:dyDescent="0.2"/>
    <row r="17" spans="2:59" s="96" customFormat="1" ht="11.25" x14ac:dyDescent="0.2"/>
    <row r="18" spans="2:59" s="96" customFormat="1" ht="11.25" x14ac:dyDescent="0.2"/>
    <row r="19" spans="2:59" s="98" customFormat="1" ht="11.25" x14ac:dyDescent="0.2">
      <c r="B19" s="99">
        <v>2</v>
      </c>
      <c r="C19" s="99">
        <v>3</v>
      </c>
      <c r="D19" s="99">
        <v>4</v>
      </c>
      <c r="E19" s="99">
        <f t="shared" ref="E19:AJ19" si="0">D19+1</f>
        <v>5</v>
      </c>
      <c r="F19" s="99">
        <f t="shared" si="0"/>
        <v>6</v>
      </c>
      <c r="G19" s="99">
        <f t="shared" si="0"/>
        <v>7</v>
      </c>
      <c r="H19" s="99">
        <f t="shared" si="0"/>
        <v>8</v>
      </c>
      <c r="I19" s="99">
        <f t="shared" si="0"/>
        <v>9</v>
      </c>
      <c r="J19" s="99">
        <f t="shared" si="0"/>
        <v>10</v>
      </c>
      <c r="K19" s="99">
        <f t="shared" si="0"/>
        <v>11</v>
      </c>
      <c r="L19" s="99">
        <f t="shared" si="0"/>
        <v>12</v>
      </c>
      <c r="M19" s="99">
        <f t="shared" si="0"/>
        <v>13</v>
      </c>
      <c r="N19" s="99">
        <f t="shared" si="0"/>
        <v>14</v>
      </c>
      <c r="O19" s="99">
        <f t="shared" si="0"/>
        <v>15</v>
      </c>
      <c r="P19" s="99">
        <f t="shared" si="0"/>
        <v>16</v>
      </c>
      <c r="Q19" s="99">
        <f t="shared" si="0"/>
        <v>17</v>
      </c>
      <c r="R19" s="99">
        <f t="shared" si="0"/>
        <v>18</v>
      </c>
      <c r="S19" s="99">
        <f t="shared" si="0"/>
        <v>19</v>
      </c>
      <c r="T19" s="99">
        <f t="shared" si="0"/>
        <v>20</v>
      </c>
      <c r="U19" s="99">
        <f t="shared" si="0"/>
        <v>21</v>
      </c>
      <c r="V19" s="99">
        <f t="shared" si="0"/>
        <v>22</v>
      </c>
      <c r="W19" s="99">
        <f t="shared" si="0"/>
        <v>23</v>
      </c>
      <c r="X19" s="99">
        <f t="shared" si="0"/>
        <v>24</v>
      </c>
      <c r="Y19" s="99">
        <f t="shared" si="0"/>
        <v>25</v>
      </c>
      <c r="Z19" s="99">
        <f t="shared" si="0"/>
        <v>26</v>
      </c>
      <c r="AA19" s="99">
        <f t="shared" si="0"/>
        <v>27</v>
      </c>
      <c r="AB19" s="99">
        <f t="shared" si="0"/>
        <v>28</v>
      </c>
      <c r="AC19" s="99">
        <f t="shared" si="0"/>
        <v>29</v>
      </c>
      <c r="AD19" s="99">
        <f t="shared" si="0"/>
        <v>30</v>
      </c>
      <c r="AE19" s="99">
        <f t="shared" si="0"/>
        <v>31</v>
      </c>
      <c r="AF19" s="99">
        <f t="shared" si="0"/>
        <v>32</v>
      </c>
      <c r="AG19" s="99">
        <f t="shared" si="0"/>
        <v>33</v>
      </c>
      <c r="AH19" s="99">
        <f t="shared" si="0"/>
        <v>34</v>
      </c>
      <c r="AI19" s="99">
        <f t="shared" si="0"/>
        <v>35</v>
      </c>
      <c r="AJ19" s="99">
        <f t="shared" si="0"/>
        <v>36</v>
      </c>
      <c r="AK19" s="99">
        <f t="shared" ref="AK19:BG19" si="1">AJ19+1</f>
        <v>37</v>
      </c>
      <c r="AL19" s="99">
        <f t="shared" si="1"/>
        <v>38</v>
      </c>
      <c r="AM19" s="99">
        <f t="shared" si="1"/>
        <v>39</v>
      </c>
      <c r="AN19" s="99">
        <f t="shared" si="1"/>
        <v>40</v>
      </c>
      <c r="AO19" s="99">
        <f t="shared" si="1"/>
        <v>41</v>
      </c>
      <c r="AP19" s="99">
        <f t="shared" si="1"/>
        <v>42</v>
      </c>
      <c r="AQ19" s="99">
        <f t="shared" si="1"/>
        <v>43</v>
      </c>
      <c r="AR19" s="99">
        <f t="shared" si="1"/>
        <v>44</v>
      </c>
      <c r="AS19" s="99">
        <f t="shared" si="1"/>
        <v>45</v>
      </c>
      <c r="AT19" s="99">
        <f t="shared" si="1"/>
        <v>46</v>
      </c>
      <c r="AU19" s="99">
        <f t="shared" si="1"/>
        <v>47</v>
      </c>
      <c r="AV19" s="99">
        <f t="shared" si="1"/>
        <v>48</v>
      </c>
      <c r="AW19" s="99">
        <f t="shared" si="1"/>
        <v>49</v>
      </c>
      <c r="AX19" s="99">
        <f t="shared" si="1"/>
        <v>50</v>
      </c>
      <c r="AY19" s="99">
        <f t="shared" si="1"/>
        <v>51</v>
      </c>
      <c r="AZ19" s="99">
        <f t="shared" si="1"/>
        <v>52</v>
      </c>
      <c r="BA19" s="99">
        <f t="shared" si="1"/>
        <v>53</v>
      </c>
      <c r="BB19" s="99">
        <f t="shared" si="1"/>
        <v>54</v>
      </c>
      <c r="BC19" s="99">
        <f t="shared" si="1"/>
        <v>55</v>
      </c>
      <c r="BD19" s="99">
        <f t="shared" si="1"/>
        <v>56</v>
      </c>
      <c r="BE19" s="99">
        <f t="shared" si="1"/>
        <v>57</v>
      </c>
      <c r="BF19" s="99">
        <f t="shared" si="1"/>
        <v>58</v>
      </c>
      <c r="BG19" s="99">
        <f t="shared" si="1"/>
        <v>59</v>
      </c>
    </row>
    <row r="20" spans="2:59" s="96" customFormat="1" ht="11.25" x14ac:dyDescent="0.2"/>
    <row r="21" spans="2:59" s="96" customFormat="1" ht="11.25" x14ac:dyDescent="0.2"/>
    <row r="22" spans="2:59" s="96" customFormat="1" ht="11.25" x14ac:dyDescent="0.2"/>
    <row r="23" spans="2:59" s="96" customFormat="1" ht="11.25" x14ac:dyDescent="0.2"/>
    <row r="24" spans="2:59" s="96" customFormat="1" ht="11.25" x14ac:dyDescent="0.2"/>
    <row r="25" spans="2:59" s="96" customFormat="1" ht="11.25" x14ac:dyDescent="0.2"/>
    <row r="26" spans="2:59" s="96" customFormat="1" ht="11.25" x14ac:dyDescent="0.2"/>
    <row r="27" spans="2:59" s="96" customFormat="1" ht="11.25" x14ac:dyDescent="0.2"/>
    <row r="28" spans="2:59" s="96" customFormat="1" ht="11.25" x14ac:dyDescent="0.2"/>
    <row r="29" spans="2:59" s="96" customFormat="1" ht="11.25" x14ac:dyDescent="0.2"/>
    <row r="30" spans="2:59" s="96" customFormat="1" ht="11.25" x14ac:dyDescent="0.2"/>
    <row r="31" spans="2:59" s="96" customFormat="1" ht="11.25" x14ac:dyDescent="0.2"/>
  </sheetData>
  <mergeCells count="4">
    <mergeCell ref="A1:C1"/>
    <mergeCell ref="D1:I1"/>
    <mergeCell ref="L1:M1"/>
    <mergeCell ref="O1:Q1"/>
  </mergeCells>
  <dataValidations count="6">
    <dataValidation allowBlank="1" showInputMessage="1" showErrorMessage="1" prompt="Input vendor with multiple branch code" sqref="I5" xr:uid="{15CA3200-D166-4376-B5C7-661C0CD4652B}"/>
    <dataValidation allowBlank="1" showInputMessage="1" showErrorMessage="1" prompt="Input vendor with one (1) branch code" sqref="I4 I6" xr:uid="{7C6EDAD4-6FEA-43BD-BF5B-44D92F785CD5}"/>
    <dataValidation allowBlank="1" showInputMessage="1" showErrorMessage="1" prompt="Input PO invoice using vendor with multiple branch code" sqref="K5" xr:uid="{627DBBB7-16E1-4B39-832E-E3D877044086}"/>
    <dataValidation allowBlank="1" showInputMessage="1" showErrorMessage="1" prompt="Input Non-PO invoice using vendor with one (1) branch code" sqref="K4 K6" xr:uid="{54D34403-0CE0-442F-832A-1179A994E560}"/>
    <dataValidation type="textLength" allowBlank="1" showInputMessage="1" showErrorMessage="1" errorTitle="Max 20 characters" sqref="AF6" xr:uid="{7A07C93D-8684-45AD-8FDA-29E2581221DE}">
      <formula1>0</formula1>
      <formula2>20</formula2>
    </dataValidation>
    <dataValidation type="textLength" allowBlank="1" showInputMessage="1" showErrorMessage="1" error="Maximum of 5 characters only" sqref="C6" xr:uid="{5AF53D26-43A8-48EC-B7F6-4D235E399AF6}">
      <formula1>1</formula1>
      <formula2>5</formula2>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C2D95-EA7F-4608-9620-E0D29975AB09}">
  <sheetPr codeName="Sheet6"/>
  <dimension ref="A1:BY42"/>
  <sheetViews>
    <sheetView workbookViewId="0">
      <selection activeCell="J30" sqref="J30"/>
    </sheetView>
  </sheetViews>
  <sheetFormatPr defaultColWidth="8" defaultRowHeight="15.75" x14ac:dyDescent="0.25"/>
  <cols>
    <col min="1" max="1" width="6.5703125" style="11" customWidth="1"/>
    <col min="2" max="2" width="7.140625" style="77" customWidth="1"/>
    <col min="3" max="4" width="14" style="11" bestFit="1" customWidth="1"/>
    <col min="5" max="5" width="15.140625" style="11" bestFit="1" customWidth="1"/>
    <col min="6" max="6" width="19.140625" style="78" customWidth="1"/>
    <col min="7" max="7" width="11.7109375" style="11" customWidth="1"/>
    <col min="8" max="8" width="9.42578125" style="11" bestFit="1" customWidth="1"/>
    <col min="9" max="9" width="11.7109375" style="11" bestFit="1" customWidth="1"/>
    <col min="10" max="10" width="13.28515625" style="11" customWidth="1"/>
    <col min="11" max="11" width="26.85546875" style="11" customWidth="1"/>
    <col min="12" max="12" width="13.140625" style="11" hidden="1" customWidth="1"/>
    <col min="13" max="13" width="11.85546875" style="11" hidden="1" customWidth="1"/>
    <col min="14" max="14" width="14.7109375" style="79" bestFit="1" customWidth="1"/>
    <col min="15" max="15" width="11.85546875" style="11" hidden="1" customWidth="1"/>
    <col min="16" max="16" width="8.5703125" style="11" hidden="1" customWidth="1"/>
    <col min="17" max="17" width="19.85546875" style="80" hidden="1" customWidth="1"/>
    <col min="18" max="18" width="9.85546875" style="11" hidden="1" customWidth="1"/>
    <col min="19" max="26" width="11.85546875" style="11" hidden="1" customWidth="1"/>
    <col min="27" max="27" width="11.7109375" style="11" customWidth="1"/>
    <col min="28" max="28" width="21.140625" style="11" customWidth="1"/>
    <col min="29" max="29" width="13.85546875" style="11" bestFit="1" customWidth="1"/>
    <col min="30" max="30" width="11.5703125" style="11" bestFit="1" customWidth="1"/>
    <col min="31" max="31" width="18.85546875" style="11" customWidth="1"/>
    <col min="32" max="32" width="13.42578125" style="11" customWidth="1"/>
    <col min="33" max="35" width="11.85546875" style="11" hidden="1" customWidth="1"/>
    <col min="36" max="36" width="18.85546875" style="11" bestFit="1" customWidth="1"/>
    <col min="37" max="45" width="11.85546875" style="11" hidden="1" customWidth="1"/>
    <col min="46" max="46" width="19.42578125" style="11" bestFit="1" customWidth="1"/>
    <col min="47" max="47" width="24.140625" style="11" bestFit="1" customWidth="1"/>
    <col min="48" max="48" width="23.140625" style="11" bestFit="1" customWidth="1"/>
    <col min="49" max="51" width="15.85546875" style="78" customWidth="1"/>
    <col min="52" max="52" width="14" style="11" customWidth="1"/>
    <col min="53" max="53" width="15" style="11" bestFit="1" customWidth="1"/>
    <col min="54" max="54" width="11.42578125" style="11" bestFit="1" customWidth="1"/>
    <col min="55" max="55" width="11" style="11" bestFit="1" customWidth="1"/>
    <col min="56" max="63" width="9.85546875" style="11" customWidth="1"/>
    <col min="64" max="64" width="13" style="11" customWidth="1"/>
    <col min="65" max="65" width="17.28515625" style="11" customWidth="1"/>
    <col min="66" max="68" width="11.85546875" style="11" customWidth="1"/>
    <col min="69" max="69" width="13.85546875" style="11" customWidth="1"/>
    <col min="70" max="70" width="3.85546875" style="11" bestFit="1" customWidth="1"/>
    <col min="71" max="71" width="17.140625" style="11" customWidth="1"/>
    <col min="72" max="72" width="9.85546875" style="11" bestFit="1" customWidth="1"/>
    <col min="73" max="73" width="11.42578125" style="11" bestFit="1" customWidth="1"/>
    <col min="74" max="74" width="12.7109375" style="11" bestFit="1" customWidth="1"/>
    <col min="75" max="75" width="5.140625" style="11" bestFit="1" customWidth="1"/>
    <col min="76" max="76" width="15.5703125" style="11" bestFit="1" customWidth="1"/>
    <col min="77" max="16384" width="8" style="11"/>
  </cols>
  <sheetData>
    <row r="1" spans="1:77" ht="16.5" thickBot="1" x14ac:dyDescent="0.3">
      <c r="A1" s="5" t="s">
        <v>91</v>
      </c>
      <c r="B1" s="156" t="s">
        <v>92</v>
      </c>
      <c r="C1" s="157"/>
      <c r="D1" s="157"/>
      <c r="E1" s="157"/>
      <c r="F1" s="157"/>
      <c r="G1" s="157"/>
      <c r="H1" s="157"/>
      <c r="I1" s="157"/>
      <c r="J1" s="157"/>
      <c r="K1" s="157"/>
      <c r="L1" s="157"/>
      <c r="M1" s="157"/>
      <c r="N1" s="157"/>
      <c r="O1" s="158"/>
      <c r="P1" s="159" t="s">
        <v>93</v>
      </c>
      <c r="Q1" s="160"/>
      <c r="R1" s="161"/>
      <c r="S1" s="6"/>
      <c r="T1" s="6"/>
      <c r="U1" s="6"/>
      <c r="V1" s="6"/>
      <c r="W1" s="6"/>
      <c r="X1" s="6"/>
      <c r="Y1" s="6"/>
      <c r="Z1" s="6"/>
      <c r="AA1" s="162" t="s">
        <v>94</v>
      </c>
      <c r="AB1" s="163"/>
      <c r="AC1" s="163"/>
      <c r="AD1" s="163"/>
      <c r="AE1" s="163"/>
      <c r="AF1" s="163"/>
      <c r="AG1" s="163"/>
      <c r="AH1" s="163"/>
      <c r="AI1" s="164"/>
      <c r="AJ1" s="165" t="s">
        <v>95</v>
      </c>
      <c r="AK1" s="166"/>
      <c r="AL1" s="166"/>
      <c r="AM1" s="166"/>
      <c r="AN1" s="166"/>
      <c r="AO1" s="166"/>
      <c r="AP1" s="166"/>
      <c r="AQ1" s="166"/>
      <c r="AR1" s="166"/>
      <c r="AS1" s="167"/>
      <c r="AT1" s="168" t="s">
        <v>96</v>
      </c>
      <c r="AU1" s="169"/>
      <c r="AV1" s="169"/>
      <c r="AW1" s="169"/>
      <c r="AX1" s="169"/>
      <c r="AY1" s="169"/>
      <c r="AZ1" s="169"/>
      <c r="BA1" s="169"/>
      <c r="BB1" s="169"/>
      <c r="BC1" s="169"/>
      <c r="BD1" s="169"/>
      <c r="BE1" s="169"/>
      <c r="BF1" s="169"/>
      <c r="BG1" s="169"/>
      <c r="BH1" s="169"/>
      <c r="BI1" s="169"/>
      <c r="BJ1" s="169"/>
      <c r="BK1" s="169"/>
      <c r="BL1" s="81"/>
      <c r="BM1" s="153" t="s">
        <v>97</v>
      </c>
      <c r="BN1" s="154"/>
      <c r="BO1" s="154"/>
      <c r="BP1" s="155"/>
      <c r="BQ1" s="7"/>
      <c r="BR1" s="7"/>
      <c r="BS1" s="7"/>
      <c r="BT1" s="8" t="s">
        <v>98</v>
      </c>
      <c r="BU1" s="9" t="s">
        <v>99</v>
      </c>
      <c r="BV1" s="9" t="s">
        <v>100</v>
      </c>
      <c r="BW1" s="10"/>
      <c r="BX1" s="7" t="s">
        <v>101</v>
      </c>
      <c r="BY1" s="7"/>
    </row>
    <row r="2" spans="1:77" s="38" customFormat="1" ht="16.5" thickBot="1" x14ac:dyDescent="0.3">
      <c r="A2" s="12" t="s">
        <v>102</v>
      </c>
      <c r="B2" s="13" t="s">
        <v>12</v>
      </c>
      <c r="C2" s="14" t="s">
        <v>14</v>
      </c>
      <c r="D2" s="15" t="s">
        <v>103</v>
      </c>
      <c r="E2" s="14" t="s">
        <v>104</v>
      </c>
      <c r="F2" s="16" t="s">
        <v>105</v>
      </c>
      <c r="G2" s="17" t="s">
        <v>106</v>
      </c>
      <c r="H2" s="14" t="s">
        <v>21</v>
      </c>
      <c r="I2" s="15" t="s">
        <v>107</v>
      </c>
      <c r="J2" s="18" t="s">
        <v>108</v>
      </c>
      <c r="K2" s="19" t="s">
        <v>109</v>
      </c>
      <c r="L2" s="20" t="s">
        <v>110</v>
      </c>
      <c r="M2" s="21" t="s">
        <v>111</v>
      </c>
      <c r="N2" s="22" t="s">
        <v>112</v>
      </c>
      <c r="O2" s="23" t="s">
        <v>113</v>
      </c>
      <c r="P2" s="24" t="s">
        <v>114</v>
      </c>
      <c r="Q2" s="25" t="s">
        <v>115</v>
      </c>
      <c r="R2" s="19" t="s">
        <v>116</v>
      </c>
      <c r="S2" s="19" t="s">
        <v>113</v>
      </c>
      <c r="T2" s="19" t="s">
        <v>113</v>
      </c>
      <c r="U2" s="19" t="s">
        <v>113</v>
      </c>
      <c r="V2" s="19" t="s">
        <v>113</v>
      </c>
      <c r="W2" s="19" t="s">
        <v>113</v>
      </c>
      <c r="X2" s="19" t="s">
        <v>113</v>
      </c>
      <c r="Y2" s="19" t="s">
        <v>113</v>
      </c>
      <c r="Z2" s="19" t="s">
        <v>113</v>
      </c>
      <c r="AA2" s="19" t="s">
        <v>117</v>
      </c>
      <c r="AB2" s="19" t="s">
        <v>118</v>
      </c>
      <c r="AC2" s="19" t="s">
        <v>119</v>
      </c>
      <c r="AD2" s="19" t="s">
        <v>120</v>
      </c>
      <c r="AE2" s="19" t="s">
        <v>121</v>
      </c>
      <c r="AF2" s="19" t="s">
        <v>122</v>
      </c>
      <c r="AG2" s="19" t="s">
        <v>113</v>
      </c>
      <c r="AH2" s="19" t="s">
        <v>113</v>
      </c>
      <c r="AI2" s="19" t="s">
        <v>113</v>
      </c>
      <c r="AJ2" s="26" t="s">
        <v>123</v>
      </c>
      <c r="AK2" s="27" t="s">
        <v>113</v>
      </c>
      <c r="AL2" s="27" t="s">
        <v>113</v>
      </c>
      <c r="AM2" s="27" t="s">
        <v>113</v>
      </c>
      <c r="AN2" s="27" t="s">
        <v>113</v>
      </c>
      <c r="AO2" s="27" t="s">
        <v>113</v>
      </c>
      <c r="AP2" s="27" t="s">
        <v>113</v>
      </c>
      <c r="AQ2" s="27" t="s">
        <v>113</v>
      </c>
      <c r="AR2" s="27" t="s">
        <v>113</v>
      </c>
      <c r="AS2" s="27" t="s">
        <v>113</v>
      </c>
      <c r="AT2" s="14" t="s">
        <v>124</v>
      </c>
      <c r="AU2" s="14" t="s">
        <v>125</v>
      </c>
      <c r="AV2" s="15" t="s">
        <v>126</v>
      </c>
      <c r="AW2" s="28" t="s">
        <v>127</v>
      </c>
      <c r="AX2" s="28" t="s">
        <v>128</v>
      </c>
      <c r="AY2" s="29" t="s">
        <v>129</v>
      </c>
      <c r="AZ2" s="29" t="s">
        <v>130</v>
      </c>
      <c r="BA2" s="29" t="s">
        <v>131</v>
      </c>
      <c r="BB2" s="29" t="s">
        <v>132</v>
      </c>
      <c r="BC2" s="29" t="s">
        <v>133</v>
      </c>
      <c r="BD2" s="29" t="s">
        <v>113</v>
      </c>
      <c r="BE2" s="29" t="s">
        <v>113</v>
      </c>
      <c r="BF2" s="29" t="s">
        <v>113</v>
      </c>
      <c r="BG2" s="29" t="s">
        <v>113</v>
      </c>
      <c r="BH2" s="29" t="s">
        <v>113</v>
      </c>
      <c r="BI2" s="29" t="s">
        <v>113</v>
      </c>
      <c r="BJ2" s="29" t="s">
        <v>113</v>
      </c>
      <c r="BK2" s="30" t="s">
        <v>134</v>
      </c>
      <c r="BL2" s="26" t="s">
        <v>135</v>
      </c>
      <c r="BM2" s="31" t="s">
        <v>136</v>
      </c>
      <c r="BN2" s="32" t="s">
        <v>113</v>
      </c>
      <c r="BO2" s="33" t="s">
        <v>113</v>
      </c>
      <c r="BP2" s="33" t="s">
        <v>113</v>
      </c>
      <c r="BQ2" s="34"/>
      <c r="BR2" s="34"/>
      <c r="BS2" s="34"/>
      <c r="BT2" s="35"/>
      <c r="BU2" s="36" t="s">
        <v>137</v>
      </c>
      <c r="BV2" s="36" t="s">
        <v>135</v>
      </c>
      <c r="BW2" s="37" t="s">
        <v>138</v>
      </c>
      <c r="BX2" s="34"/>
      <c r="BY2" s="34"/>
    </row>
    <row r="3" spans="1:77" s="55" customFormat="1" x14ac:dyDescent="0.25">
      <c r="A3" s="39" t="s">
        <v>100</v>
      </c>
      <c r="B3" s="40">
        <v>8101</v>
      </c>
      <c r="C3" s="41">
        <v>100059973</v>
      </c>
      <c r="D3" s="41" t="s">
        <v>139</v>
      </c>
      <c r="E3" s="41" t="s">
        <v>140</v>
      </c>
      <c r="F3" s="42" t="s">
        <v>141</v>
      </c>
      <c r="G3" s="43" t="s">
        <v>142</v>
      </c>
      <c r="H3" s="41" t="s">
        <v>143</v>
      </c>
      <c r="I3" s="44" t="s">
        <v>144</v>
      </c>
      <c r="J3" s="45"/>
      <c r="K3" s="41" t="s">
        <v>145</v>
      </c>
      <c r="L3" s="41"/>
      <c r="M3" s="41"/>
      <c r="N3" s="46"/>
      <c r="O3" s="41"/>
      <c r="P3" s="41" t="s">
        <v>139</v>
      </c>
      <c r="Q3" s="47" t="s">
        <v>146</v>
      </c>
      <c r="R3" s="48"/>
      <c r="S3" s="41"/>
      <c r="T3" s="41"/>
      <c r="U3" s="41"/>
      <c r="V3" s="41"/>
      <c r="W3" s="41"/>
      <c r="X3" s="41"/>
      <c r="Y3" s="41"/>
      <c r="Z3" s="41"/>
      <c r="AA3" s="49" t="s">
        <v>147</v>
      </c>
      <c r="AB3" s="49" t="s">
        <v>148</v>
      </c>
      <c r="AC3" s="41" t="s">
        <v>149</v>
      </c>
      <c r="AD3" s="41" t="s">
        <v>150</v>
      </c>
      <c r="AE3" s="41" t="s">
        <v>151</v>
      </c>
      <c r="AF3" s="41"/>
      <c r="AG3" s="41"/>
      <c r="AH3" s="41"/>
      <c r="AI3" s="41"/>
      <c r="AJ3" s="41"/>
      <c r="AK3" s="41"/>
      <c r="AL3" s="41"/>
      <c r="AM3" s="41"/>
      <c r="AN3" s="41"/>
      <c r="AO3" s="41"/>
      <c r="AP3" s="41"/>
      <c r="AQ3" s="41"/>
      <c r="AR3" s="41"/>
      <c r="AS3" s="41"/>
      <c r="AT3" s="50" t="s">
        <v>152</v>
      </c>
      <c r="AU3" s="49" t="s">
        <v>153</v>
      </c>
      <c r="AV3" s="51" t="s">
        <v>138</v>
      </c>
      <c r="AW3" s="52"/>
      <c r="AX3" s="53"/>
      <c r="AY3" s="49"/>
      <c r="AZ3" s="49"/>
      <c r="BA3" s="49"/>
      <c r="BB3" s="49"/>
      <c r="BC3" s="49"/>
      <c r="BD3" s="49"/>
      <c r="BE3" s="49"/>
      <c r="BF3" s="49"/>
      <c r="BG3" s="49"/>
      <c r="BH3" s="49"/>
      <c r="BI3" s="49"/>
      <c r="BJ3" s="49"/>
      <c r="BK3" s="49"/>
      <c r="BL3" s="53"/>
      <c r="BM3" s="49"/>
      <c r="BN3" s="49"/>
      <c r="BO3" s="53"/>
      <c r="BP3" s="49"/>
      <c r="BQ3" s="54"/>
      <c r="BR3" s="54"/>
      <c r="BS3" s="54"/>
      <c r="BT3" s="54"/>
      <c r="BU3" s="54"/>
      <c r="BV3" s="54"/>
      <c r="BW3" s="54"/>
      <c r="BX3" s="54"/>
      <c r="BY3" s="54"/>
    </row>
    <row r="4" spans="1:77" s="67" customFormat="1" x14ac:dyDescent="0.25">
      <c r="A4" s="56" t="s">
        <v>99</v>
      </c>
      <c r="B4" s="57">
        <v>1000</v>
      </c>
      <c r="C4" s="58" t="s">
        <v>154</v>
      </c>
      <c r="D4" s="56" t="s">
        <v>155</v>
      </c>
      <c r="E4" s="56" t="s">
        <v>156</v>
      </c>
      <c r="F4" s="59" t="s">
        <v>157</v>
      </c>
      <c r="G4" s="56" t="s">
        <v>142</v>
      </c>
      <c r="H4" s="60" t="s">
        <v>31</v>
      </c>
      <c r="I4" s="61" t="s">
        <v>32</v>
      </c>
      <c r="J4" s="61"/>
      <c r="K4" s="62"/>
      <c r="L4" s="56"/>
      <c r="M4" s="56"/>
      <c r="N4" s="63" t="s">
        <v>158</v>
      </c>
      <c r="O4" s="56"/>
      <c r="P4" s="56"/>
      <c r="Q4" s="60"/>
      <c r="R4" s="56"/>
      <c r="S4" s="56"/>
      <c r="T4" s="56"/>
      <c r="U4" s="56"/>
      <c r="V4" s="56"/>
      <c r="W4" s="56"/>
      <c r="X4" s="56"/>
      <c r="Y4" s="56"/>
      <c r="Z4" s="56"/>
      <c r="AA4" s="64"/>
      <c r="AB4" s="56" t="s">
        <v>159</v>
      </c>
      <c r="AC4" s="64"/>
      <c r="AD4" s="64"/>
      <c r="AE4" s="64"/>
      <c r="AF4" s="56" t="s">
        <v>155</v>
      </c>
      <c r="AG4" s="64"/>
      <c r="AH4" s="64"/>
      <c r="AI4" s="64"/>
      <c r="AJ4" s="61" t="s">
        <v>160</v>
      </c>
      <c r="AK4" s="64"/>
      <c r="AL4" s="64"/>
      <c r="AM4" s="64"/>
      <c r="AN4" s="64"/>
      <c r="AO4" s="64"/>
      <c r="AP4" s="64"/>
      <c r="AQ4" s="64"/>
      <c r="AR4" s="64"/>
      <c r="AS4" s="64"/>
      <c r="AT4" s="61" t="s">
        <v>152</v>
      </c>
      <c r="AU4" s="61" t="s">
        <v>32</v>
      </c>
      <c r="AV4" s="56" t="s">
        <v>138</v>
      </c>
      <c r="AW4" s="65" t="s">
        <v>161</v>
      </c>
      <c r="AX4" s="56"/>
      <c r="AY4" s="56"/>
      <c r="AZ4" s="56"/>
      <c r="BA4" s="56" t="s">
        <v>160</v>
      </c>
      <c r="BB4" s="56"/>
      <c r="BC4" s="56"/>
      <c r="BD4" s="56"/>
      <c r="BE4" s="56"/>
      <c r="BF4" s="56"/>
      <c r="BG4" s="56"/>
      <c r="BH4" s="56"/>
      <c r="BI4" s="56"/>
      <c r="BJ4" s="56"/>
      <c r="BK4" s="66"/>
      <c r="BL4" s="56"/>
      <c r="BM4" s="56"/>
      <c r="BO4" s="68"/>
    </row>
    <row r="5" spans="1:77" s="67" customFormat="1" x14ac:dyDescent="0.25">
      <c r="A5" s="56" t="s">
        <v>99</v>
      </c>
      <c r="B5" s="57">
        <v>1000</v>
      </c>
      <c r="C5" s="58" t="s">
        <v>154</v>
      </c>
      <c r="D5" s="56" t="s">
        <v>155</v>
      </c>
      <c r="E5" s="56" t="s">
        <v>156</v>
      </c>
      <c r="F5" s="59" t="s">
        <v>162</v>
      </c>
      <c r="G5" s="56" t="s">
        <v>142</v>
      </c>
      <c r="H5" s="60" t="s">
        <v>31</v>
      </c>
      <c r="I5" s="61" t="s">
        <v>32</v>
      </c>
      <c r="J5" s="61"/>
      <c r="K5" s="62"/>
      <c r="L5" s="56"/>
      <c r="M5" s="56"/>
      <c r="N5" s="63" t="s">
        <v>158</v>
      </c>
      <c r="O5" s="56"/>
      <c r="P5" s="56"/>
      <c r="Q5" s="60"/>
      <c r="R5" s="56"/>
      <c r="S5" s="56"/>
      <c r="T5" s="56"/>
      <c r="U5" s="56"/>
      <c r="V5" s="56"/>
      <c r="W5" s="56"/>
      <c r="X5" s="56"/>
      <c r="Y5" s="56"/>
      <c r="Z5" s="56"/>
      <c r="AA5" s="64"/>
      <c r="AB5" s="56" t="s">
        <v>159</v>
      </c>
      <c r="AC5" s="64"/>
      <c r="AD5" s="64"/>
      <c r="AE5" s="64"/>
      <c r="AF5" s="56" t="s">
        <v>155</v>
      </c>
      <c r="AG5" s="64"/>
      <c r="AH5" s="64"/>
      <c r="AI5" s="64"/>
      <c r="AJ5" s="61" t="s">
        <v>160</v>
      </c>
      <c r="AK5" s="64"/>
      <c r="AL5" s="64"/>
      <c r="AM5" s="64"/>
      <c r="AN5" s="64"/>
      <c r="AO5" s="64"/>
      <c r="AP5" s="64"/>
      <c r="AQ5" s="64"/>
      <c r="AR5" s="64"/>
      <c r="AS5" s="64"/>
      <c r="AT5" s="61" t="s">
        <v>152</v>
      </c>
      <c r="AU5" s="61" t="s">
        <v>32</v>
      </c>
      <c r="AV5" s="56" t="s">
        <v>138</v>
      </c>
      <c r="AW5" s="65" t="s">
        <v>161</v>
      </c>
      <c r="AX5" s="56"/>
      <c r="AY5" s="56"/>
      <c r="AZ5" s="56"/>
      <c r="BA5" s="56" t="s">
        <v>160</v>
      </c>
      <c r="BB5" s="56"/>
      <c r="BC5" s="56"/>
      <c r="BD5" s="56"/>
      <c r="BE5" s="56"/>
      <c r="BF5" s="56"/>
      <c r="BG5" s="56"/>
      <c r="BH5" s="56"/>
      <c r="BI5" s="56"/>
      <c r="BJ5" s="56"/>
      <c r="BK5" s="66"/>
      <c r="BL5" s="56"/>
      <c r="BM5" s="56"/>
      <c r="BO5" s="68"/>
    </row>
    <row r="6" spans="1:77" s="67" customFormat="1" x14ac:dyDescent="0.25">
      <c r="A6" s="56" t="s">
        <v>99</v>
      </c>
      <c r="B6" s="57">
        <v>1000</v>
      </c>
      <c r="C6" s="58" t="s">
        <v>154</v>
      </c>
      <c r="D6" s="56" t="s">
        <v>163</v>
      </c>
      <c r="E6" s="56" t="s">
        <v>164</v>
      </c>
      <c r="F6" s="59" t="s">
        <v>165</v>
      </c>
      <c r="G6" s="56" t="s">
        <v>142</v>
      </c>
      <c r="H6" s="60" t="s">
        <v>31</v>
      </c>
      <c r="I6" s="61" t="s">
        <v>32</v>
      </c>
      <c r="J6" s="61"/>
      <c r="K6" s="62"/>
      <c r="L6" s="56"/>
      <c r="M6" s="56"/>
      <c r="N6" s="63" t="s">
        <v>158</v>
      </c>
      <c r="O6" s="56"/>
      <c r="P6" s="56"/>
      <c r="Q6" s="60"/>
      <c r="R6" s="56"/>
      <c r="S6" s="56"/>
      <c r="T6" s="56"/>
      <c r="U6" s="56"/>
      <c r="V6" s="56"/>
      <c r="W6" s="56"/>
      <c r="X6" s="56"/>
      <c r="Y6" s="56"/>
      <c r="Z6" s="56"/>
      <c r="AA6" s="64"/>
      <c r="AB6" s="56" t="s">
        <v>159</v>
      </c>
      <c r="AC6" s="64"/>
      <c r="AD6" s="64"/>
      <c r="AE6" s="64"/>
      <c r="AF6" s="56" t="s">
        <v>163</v>
      </c>
      <c r="AG6" s="64"/>
      <c r="AH6" s="64"/>
      <c r="AI6" s="64"/>
      <c r="AJ6" s="61" t="s">
        <v>160</v>
      </c>
      <c r="AK6" s="64"/>
      <c r="AL6" s="64"/>
      <c r="AM6" s="64"/>
      <c r="AN6" s="64"/>
      <c r="AO6" s="64"/>
      <c r="AP6" s="64"/>
      <c r="AQ6" s="64"/>
      <c r="AR6" s="64"/>
      <c r="AS6" s="64"/>
      <c r="AT6" s="61" t="s">
        <v>152</v>
      </c>
      <c r="AU6" s="61" t="s">
        <v>32</v>
      </c>
      <c r="AV6" s="56" t="s">
        <v>138</v>
      </c>
      <c r="AW6" s="65" t="s">
        <v>161</v>
      </c>
      <c r="AX6" s="56"/>
      <c r="AY6" s="56"/>
      <c r="AZ6" s="56"/>
      <c r="BA6" s="56" t="s">
        <v>160</v>
      </c>
      <c r="BB6" s="56"/>
      <c r="BC6" s="56"/>
      <c r="BD6" s="56"/>
      <c r="BE6" s="56"/>
      <c r="BF6" s="56"/>
      <c r="BG6" s="56"/>
      <c r="BH6" s="56"/>
      <c r="BI6" s="56"/>
      <c r="BJ6" s="56"/>
      <c r="BK6" s="66"/>
      <c r="BL6" s="56"/>
      <c r="BM6" s="56"/>
      <c r="BO6" s="68"/>
    </row>
    <row r="7" spans="1:77" s="67" customFormat="1" x14ac:dyDescent="0.25">
      <c r="A7" s="56"/>
      <c r="B7" s="57"/>
      <c r="C7" s="58" t="s">
        <v>154</v>
      </c>
      <c r="D7" s="56"/>
      <c r="E7" s="56"/>
      <c r="F7" s="59"/>
      <c r="G7" s="56"/>
      <c r="H7" s="60"/>
      <c r="I7" s="61"/>
      <c r="J7" s="61"/>
      <c r="K7" s="62"/>
      <c r="L7" s="56"/>
      <c r="M7" s="56"/>
      <c r="N7" s="63"/>
      <c r="O7" s="56"/>
      <c r="P7" s="56"/>
      <c r="Q7" s="60"/>
      <c r="R7" s="56"/>
      <c r="S7" s="56"/>
      <c r="T7" s="56"/>
      <c r="U7" s="56"/>
      <c r="V7" s="56"/>
      <c r="W7" s="56"/>
      <c r="X7" s="56"/>
      <c r="Y7" s="56"/>
      <c r="Z7" s="56"/>
      <c r="AA7" s="64"/>
      <c r="AB7" s="56"/>
      <c r="AC7" s="64"/>
      <c r="AD7" s="64"/>
      <c r="AE7" s="64"/>
      <c r="AF7" s="56"/>
      <c r="AG7" s="64"/>
      <c r="AH7" s="64"/>
      <c r="AI7" s="64"/>
      <c r="AJ7" s="61"/>
      <c r="AK7" s="64"/>
      <c r="AL7" s="64"/>
      <c r="AM7" s="64"/>
      <c r="AN7" s="64"/>
      <c r="AO7" s="64"/>
      <c r="AP7" s="64"/>
      <c r="AQ7" s="64"/>
      <c r="AR7" s="64"/>
      <c r="AS7" s="64"/>
      <c r="AT7" s="61"/>
      <c r="AU7" s="61"/>
      <c r="AV7" s="56"/>
      <c r="AW7" s="65"/>
      <c r="AX7" s="56"/>
      <c r="AY7" s="56"/>
      <c r="AZ7" s="56"/>
      <c r="BA7" s="56"/>
      <c r="BB7" s="56"/>
      <c r="BC7" s="56"/>
      <c r="BD7" s="56"/>
      <c r="BE7" s="56"/>
      <c r="BF7" s="56"/>
      <c r="BG7" s="56"/>
      <c r="BH7" s="56"/>
      <c r="BI7" s="56"/>
      <c r="BJ7" s="56"/>
      <c r="BK7" s="66"/>
      <c r="BL7" s="56"/>
      <c r="BM7" s="56"/>
      <c r="BO7" s="68"/>
    </row>
    <row r="8" spans="1:77" s="67" customFormat="1" x14ac:dyDescent="0.25">
      <c r="A8" s="56" t="s">
        <v>99</v>
      </c>
      <c r="B8" s="57">
        <v>1000</v>
      </c>
      <c r="C8" s="58" t="s">
        <v>154</v>
      </c>
      <c r="D8" s="56" t="s">
        <v>166</v>
      </c>
      <c r="E8" s="56" t="s">
        <v>166</v>
      </c>
      <c r="F8" s="59" t="s">
        <v>167</v>
      </c>
      <c r="G8" s="56" t="s">
        <v>142</v>
      </c>
      <c r="H8" s="60" t="s">
        <v>31</v>
      </c>
      <c r="I8" s="61" t="s">
        <v>32</v>
      </c>
      <c r="J8" s="61"/>
      <c r="K8" s="62"/>
      <c r="L8" s="56"/>
      <c r="M8" s="56"/>
      <c r="N8" s="63" t="s">
        <v>158</v>
      </c>
      <c r="O8" s="56"/>
      <c r="P8" s="56"/>
      <c r="Q8" s="60"/>
      <c r="R8" s="56"/>
      <c r="S8" s="56"/>
      <c r="T8" s="56"/>
      <c r="U8" s="56"/>
      <c r="V8" s="56"/>
      <c r="W8" s="56"/>
      <c r="X8" s="56"/>
      <c r="Y8" s="56"/>
      <c r="Z8" s="56"/>
      <c r="AA8" s="64"/>
      <c r="AB8" s="56" t="s">
        <v>159</v>
      </c>
      <c r="AC8" s="64"/>
      <c r="AD8" s="64"/>
      <c r="AE8" s="64"/>
      <c r="AF8" s="56" t="s">
        <v>166</v>
      </c>
      <c r="AG8" s="64"/>
      <c r="AH8" s="64"/>
      <c r="AI8" s="64"/>
      <c r="AJ8" s="61" t="s">
        <v>160</v>
      </c>
      <c r="AK8" s="64"/>
      <c r="AL8" s="64"/>
      <c r="AM8" s="64"/>
      <c r="AN8" s="64"/>
      <c r="AO8" s="64"/>
      <c r="AP8" s="64"/>
      <c r="AQ8" s="64"/>
      <c r="AR8" s="64"/>
      <c r="AS8" s="64"/>
      <c r="AT8" s="61" t="s">
        <v>152</v>
      </c>
      <c r="AU8" s="61" t="s">
        <v>32</v>
      </c>
      <c r="AV8" s="56" t="s">
        <v>138</v>
      </c>
      <c r="AW8" s="65" t="s">
        <v>161</v>
      </c>
      <c r="AX8" s="56"/>
      <c r="AY8" s="56"/>
      <c r="AZ8" s="56"/>
      <c r="BA8" s="56" t="s">
        <v>160</v>
      </c>
      <c r="BB8" s="56"/>
      <c r="BC8" s="56"/>
      <c r="BD8" s="56"/>
      <c r="BE8" s="56"/>
      <c r="BF8" s="56"/>
      <c r="BG8" s="56"/>
      <c r="BH8" s="56"/>
      <c r="BI8" s="56"/>
      <c r="BJ8" s="56"/>
      <c r="BK8" s="66"/>
      <c r="BL8" s="56"/>
      <c r="BM8" s="56"/>
      <c r="BO8" s="68"/>
    </row>
    <row r="9" spans="1:77" s="67" customFormat="1" x14ac:dyDescent="0.25">
      <c r="A9" s="56" t="s">
        <v>99</v>
      </c>
      <c r="B9" s="57">
        <v>1000</v>
      </c>
      <c r="C9" s="58" t="s">
        <v>154</v>
      </c>
      <c r="D9" s="56" t="s">
        <v>166</v>
      </c>
      <c r="E9" s="56" t="s">
        <v>166</v>
      </c>
      <c r="F9" s="59" t="s">
        <v>168</v>
      </c>
      <c r="G9" s="56" t="s">
        <v>142</v>
      </c>
      <c r="H9" s="60" t="s">
        <v>31</v>
      </c>
      <c r="I9" s="61" t="s">
        <v>32</v>
      </c>
      <c r="J9" s="61"/>
      <c r="K9" s="62"/>
      <c r="L9" s="56"/>
      <c r="M9" s="56"/>
      <c r="N9" s="63" t="s">
        <v>158</v>
      </c>
      <c r="O9" s="56"/>
      <c r="P9" s="56"/>
      <c r="Q9" s="60"/>
      <c r="R9" s="56"/>
      <c r="S9" s="56"/>
      <c r="T9" s="56"/>
      <c r="U9" s="56"/>
      <c r="V9" s="56"/>
      <c r="W9" s="56"/>
      <c r="X9" s="56"/>
      <c r="Y9" s="56"/>
      <c r="Z9" s="56"/>
      <c r="AA9" s="64"/>
      <c r="AB9" s="56" t="s">
        <v>159</v>
      </c>
      <c r="AC9" s="64"/>
      <c r="AD9" s="64"/>
      <c r="AE9" s="64"/>
      <c r="AF9" s="56" t="s">
        <v>166</v>
      </c>
      <c r="AG9" s="64"/>
      <c r="AH9" s="64"/>
      <c r="AI9" s="64"/>
      <c r="AJ9" s="61" t="s">
        <v>160</v>
      </c>
      <c r="AK9" s="64"/>
      <c r="AL9" s="64"/>
      <c r="AM9" s="64"/>
      <c r="AN9" s="64"/>
      <c r="AO9" s="64"/>
      <c r="AP9" s="64"/>
      <c r="AQ9" s="64"/>
      <c r="AR9" s="64"/>
      <c r="AS9" s="64"/>
      <c r="AT9" s="61" t="s">
        <v>152</v>
      </c>
      <c r="AU9" s="61" t="s">
        <v>32</v>
      </c>
      <c r="AV9" s="56" t="s">
        <v>138</v>
      </c>
      <c r="AW9" s="65" t="s">
        <v>161</v>
      </c>
      <c r="AX9" s="56"/>
      <c r="AY9" s="56"/>
      <c r="AZ9" s="56"/>
      <c r="BA9" s="56" t="s">
        <v>160</v>
      </c>
      <c r="BB9" s="56"/>
      <c r="BC9" s="56"/>
      <c r="BD9" s="56"/>
      <c r="BE9" s="56"/>
      <c r="BF9" s="56"/>
      <c r="BG9" s="56"/>
      <c r="BH9" s="56"/>
      <c r="BI9" s="56"/>
      <c r="BJ9" s="56"/>
      <c r="BK9" s="66"/>
      <c r="BL9" s="56"/>
      <c r="BM9" s="56"/>
      <c r="BO9" s="68"/>
    </row>
    <row r="10" spans="1:77" s="67" customFormat="1" x14ac:dyDescent="0.25">
      <c r="A10" s="56" t="s">
        <v>99</v>
      </c>
      <c r="B10" s="57">
        <v>1000</v>
      </c>
      <c r="C10" s="58" t="s">
        <v>154</v>
      </c>
      <c r="D10" s="56" t="s">
        <v>166</v>
      </c>
      <c r="E10" s="56" t="s">
        <v>166</v>
      </c>
      <c r="F10" s="59" t="s">
        <v>169</v>
      </c>
      <c r="G10" s="56" t="s">
        <v>142</v>
      </c>
      <c r="H10" s="60" t="s">
        <v>31</v>
      </c>
      <c r="I10" s="61" t="s">
        <v>32</v>
      </c>
      <c r="J10" s="61"/>
      <c r="K10" s="62"/>
      <c r="L10" s="56"/>
      <c r="M10" s="56"/>
      <c r="N10" s="63" t="s">
        <v>158</v>
      </c>
      <c r="O10" s="56"/>
      <c r="P10" s="56"/>
      <c r="Q10" s="60"/>
      <c r="R10" s="56"/>
      <c r="S10" s="56"/>
      <c r="T10" s="56"/>
      <c r="U10" s="56"/>
      <c r="V10" s="56"/>
      <c r="W10" s="56"/>
      <c r="X10" s="56"/>
      <c r="Y10" s="56"/>
      <c r="Z10" s="56"/>
      <c r="AA10" s="64"/>
      <c r="AB10" s="56" t="s">
        <v>159</v>
      </c>
      <c r="AC10" s="64"/>
      <c r="AD10" s="64"/>
      <c r="AE10" s="64"/>
      <c r="AF10" s="56" t="s">
        <v>166</v>
      </c>
      <c r="AG10" s="64"/>
      <c r="AH10" s="64"/>
      <c r="AI10" s="64"/>
      <c r="AJ10" s="61" t="s">
        <v>160</v>
      </c>
      <c r="AK10" s="64"/>
      <c r="AL10" s="64"/>
      <c r="AM10" s="64"/>
      <c r="AN10" s="64"/>
      <c r="AO10" s="64"/>
      <c r="AP10" s="64"/>
      <c r="AQ10" s="64"/>
      <c r="AR10" s="64"/>
      <c r="AS10" s="64"/>
      <c r="AT10" s="61" t="s">
        <v>152</v>
      </c>
      <c r="AU10" s="61" t="s">
        <v>32</v>
      </c>
      <c r="AV10" s="56" t="s">
        <v>138</v>
      </c>
      <c r="AW10" s="65" t="s">
        <v>161</v>
      </c>
      <c r="AX10" s="56"/>
      <c r="AY10" s="56"/>
      <c r="AZ10" s="56"/>
      <c r="BA10" s="56" t="s">
        <v>160</v>
      </c>
      <c r="BB10" s="56"/>
      <c r="BC10" s="56"/>
      <c r="BD10" s="56"/>
      <c r="BE10" s="56"/>
      <c r="BF10" s="56"/>
      <c r="BG10" s="56"/>
      <c r="BH10" s="56"/>
      <c r="BI10" s="56"/>
      <c r="BJ10" s="56"/>
      <c r="BK10" s="66"/>
      <c r="BL10" s="56"/>
      <c r="BM10" s="56"/>
      <c r="BO10" s="68"/>
    </row>
    <row r="11" spans="1:77" s="67" customFormat="1" x14ac:dyDescent="0.25">
      <c r="A11" s="56"/>
      <c r="B11" s="57"/>
      <c r="C11" s="58"/>
      <c r="D11" s="56"/>
      <c r="E11" s="56"/>
      <c r="F11" s="59"/>
      <c r="G11" s="56"/>
      <c r="H11" s="60"/>
      <c r="I11" s="61"/>
      <c r="J11" s="61"/>
      <c r="K11" s="62"/>
      <c r="L11" s="56"/>
      <c r="M11" s="56"/>
      <c r="N11" s="63"/>
      <c r="O11" s="56"/>
      <c r="P11" s="56"/>
      <c r="Q11" s="60"/>
      <c r="R11" s="56"/>
      <c r="S11" s="56"/>
      <c r="T11" s="56"/>
      <c r="U11" s="56"/>
      <c r="V11" s="56"/>
      <c r="W11" s="56"/>
      <c r="X11" s="56"/>
      <c r="Y11" s="56"/>
      <c r="Z11" s="56"/>
      <c r="AA11" s="64"/>
      <c r="AB11" s="56"/>
      <c r="AC11" s="64"/>
      <c r="AD11" s="64"/>
      <c r="AE11" s="64"/>
      <c r="AF11" s="56"/>
      <c r="AG11" s="64"/>
      <c r="AH11" s="64"/>
      <c r="AI11" s="64"/>
      <c r="AJ11" s="61"/>
      <c r="AK11" s="64"/>
      <c r="AL11" s="64"/>
      <c r="AM11" s="64"/>
      <c r="AN11" s="64"/>
      <c r="AO11" s="64"/>
      <c r="AP11" s="64"/>
      <c r="AQ11" s="64"/>
      <c r="AR11" s="64"/>
      <c r="AS11" s="64"/>
      <c r="AT11" s="61"/>
      <c r="AU11" s="61"/>
      <c r="AV11" s="56"/>
      <c r="AW11" s="65"/>
      <c r="AX11" s="56"/>
      <c r="AY11" s="56"/>
      <c r="AZ11" s="56"/>
      <c r="BA11" s="56"/>
      <c r="BB11" s="56"/>
      <c r="BC11" s="56"/>
      <c r="BD11" s="56"/>
      <c r="BE11" s="56"/>
      <c r="BF11" s="56"/>
      <c r="BG11" s="56"/>
      <c r="BH11" s="56"/>
      <c r="BI11" s="56"/>
      <c r="BJ11" s="56"/>
      <c r="BK11" s="66"/>
      <c r="BL11" s="56"/>
      <c r="BM11" s="56"/>
      <c r="BO11" s="68"/>
    </row>
    <row r="12" spans="1:77" s="67" customFormat="1" x14ac:dyDescent="0.25">
      <c r="A12" s="56" t="s">
        <v>99</v>
      </c>
      <c r="B12" s="57">
        <v>3004</v>
      </c>
      <c r="C12" s="58" t="s">
        <v>170</v>
      </c>
      <c r="D12" s="56" t="s">
        <v>171</v>
      </c>
      <c r="E12" s="56" t="s">
        <v>172</v>
      </c>
      <c r="F12" s="59" t="s">
        <v>173</v>
      </c>
      <c r="G12" s="56" t="s">
        <v>142</v>
      </c>
      <c r="H12" s="60" t="s">
        <v>174</v>
      </c>
      <c r="I12" s="61" t="s">
        <v>28</v>
      </c>
      <c r="J12" s="61"/>
      <c r="K12" s="62"/>
      <c r="L12" s="56"/>
      <c r="M12" s="56"/>
      <c r="N12" s="63" t="s">
        <v>158</v>
      </c>
      <c r="O12" s="56"/>
      <c r="P12" s="56"/>
      <c r="Q12" s="60"/>
      <c r="R12" s="56"/>
      <c r="S12" s="56"/>
      <c r="T12" s="56"/>
      <c r="U12" s="56"/>
      <c r="V12" s="56"/>
      <c r="W12" s="56"/>
      <c r="X12" s="56"/>
      <c r="Y12" s="56"/>
      <c r="Z12" s="56"/>
      <c r="AA12" s="64"/>
      <c r="AB12" s="56" t="s">
        <v>175</v>
      </c>
      <c r="AC12" s="64"/>
      <c r="AD12" s="64"/>
      <c r="AE12" s="64"/>
      <c r="AF12" s="56" t="s">
        <v>171</v>
      </c>
      <c r="AG12" s="64"/>
      <c r="AH12" s="64"/>
      <c r="AI12" s="64"/>
      <c r="AJ12" s="61" t="s">
        <v>176</v>
      </c>
      <c r="AK12" s="64"/>
      <c r="AL12" s="64"/>
      <c r="AM12" s="64"/>
      <c r="AN12" s="64"/>
      <c r="AO12" s="64"/>
      <c r="AP12" s="64"/>
      <c r="AQ12" s="64"/>
      <c r="AR12" s="64"/>
      <c r="AS12" s="64"/>
      <c r="AT12" s="61" t="s">
        <v>152</v>
      </c>
      <c r="AU12" s="61" t="s">
        <v>177</v>
      </c>
      <c r="AV12" s="56" t="s">
        <v>138</v>
      </c>
      <c r="AW12" s="65" t="s">
        <v>178</v>
      </c>
      <c r="AX12" s="56"/>
      <c r="AY12" s="56"/>
      <c r="AZ12" s="56"/>
      <c r="BA12" s="56" t="s">
        <v>176</v>
      </c>
      <c r="BB12" s="56" t="s">
        <v>179</v>
      </c>
      <c r="BC12" s="56" t="s">
        <v>180</v>
      </c>
      <c r="BD12" s="56"/>
      <c r="BE12" s="56"/>
      <c r="BF12" s="56"/>
      <c r="BG12" s="56"/>
      <c r="BH12" s="56"/>
      <c r="BI12" s="56"/>
      <c r="BJ12" s="56"/>
      <c r="BK12" s="66"/>
      <c r="BL12" s="56"/>
      <c r="BM12" s="56"/>
      <c r="BO12" s="68"/>
    </row>
    <row r="13" spans="1:77" s="67" customFormat="1" x14ac:dyDescent="0.25">
      <c r="A13" s="56" t="s">
        <v>99</v>
      </c>
      <c r="B13" s="57">
        <v>3004</v>
      </c>
      <c r="C13" s="58" t="s">
        <v>170</v>
      </c>
      <c r="D13" s="56" t="s">
        <v>171</v>
      </c>
      <c r="E13" s="56" t="s">
        <v>172</v>
      </c>
      <c r="F13" s="59" t="s">
        <v>181</v>
      </c>
      <c r="G13" s="56" t="s">
        <v>142</v>
      </c>
      <c r="H13" s="60" t="s">
        <v>174</v>
      </c>
      <c r="I13" s="61" t="s">
        <v>28</v>
      </c>
      <c r="J13" s="61"/>
      <c r="K13" s="62"/>
      <c r="L13" s="56"/>
      <c r="M13" s="56"/>
      <c r="N13" s="63" t="s">
        <v>158</v>
      </c>
      <c r="O13" s="56"/>
      <c r="P13" s="56"/>
      <c r="Q13" s="60"/>
      <c r="R13" s="56"/>
      <c r="S13" s="56"/>
      <c r="T13" s="56"/>
      <c r="U13" s="56"/>
      <c r="V13" s="56"/>
      <c r="W13" s="56"/>
      <c r="X13" s="56"/>
      <c r="Y13" s="56"/>
      <c r="Z13" s="56"/>
      <c r="AA13" s="64"/>
      <c r="AB13" s="56" t="s">
        <v>175</v>
      </c>
      <c r="AC13" s="64"/>
      <c r="AD13" s="64"/>
      <c r="AE13" s="64"/>
      <c r="AF13" s="56" t="s">
        <v>171</v>
      </c>
      <c r="AG13" s="64"/>
      <c r="AH13" s="64"/>
      <c r="AI13" s="64"/>
      <c r="AJ13" s="61" t="s">
        <v>176</v>
      </c>
      <c r="AK13" s="64"/>
      <c r="AL13" s="64"/>
      <c r="AM13" s="64"/>
      <c r="AN13" s="64"/>
      <c r="AO13" s="64"/>
      <c r="AP13" s="64"/>
      <c r="AQ13" s="64"/>
      <c r="AR13" s="64"/>
      <c r="AS13" s="64"/>
      <c r="AT13" s="61" t="s">
        <v>152</v>
      </c>
      <c r="AU13" s="61" t="s">
        <v>177</v>
      </c>
      <c r="AV13" s="56" t="s">
        <v>138</v>
      </c>
      <c r="AW13" s="65" t="s">
        <v>182</v>
      </c>
      <c r="AX13" s="56"/>
      <c r="AY13" s="56"/>
      <c r="AZ13" s="56"/>
      <c r="BA13" s="56" t="s">
        <v>176</v>
      </c>
      <c r="BB13" s="56" t="s">
        <v>183</v>
      </c>
      <c r="BC13" s="56" t="s">
        <v>184</v>
      </c>
      <c r="BD13" s="56"/>
      <c r="BE13" s="56"/>
      <c r="BF13" s="56"/>
      <c r="BG13" s="56"/>
      <c r="BH13" s="56"/>
      <c r="BI13" s="56"/>
      <c r="BJ13" s="56"/>
      <c r="BK13" s="66"/>
      <c r="BL13" s="56"/>
      <c r="BM13" s="56"/>
      <c r="BO13" s="68"/>
    </row>
    <row r="14" spans="1:77" s="67" customFormat="1" x14ac:dyDescent="0.25">
      <c r="A14" s="56"/>
      <c r="B14" s="57"/>
      <c r="C14" s="58"/>
      <c r="D14" s="56"/>
      <c r="E14" s="56"/>
      <c r="F14" s="59"/>
      <c r="G14" s="56"/>
      <c r="H14" s="60"/>
      <c r="I14" s="61"/>
      <c r="J14" s="61"/>
      <c r="K14" s="62"/>
      <c r="L14" s="56"/>
      <c r="M14" s="56"/>
      <c r="N14" s="63"/>
      <c r="O14" s="56"/>
      <c r="P14" s="56"/>
      <c r="Q14" s="60"/>
      <c r="R14" s="56"/>
      <c r="S14" s="56"/>
      <c r="T14" s="56"/>
      <c r="U14" s="56"/>
      <c r="V14" s="56"/>
      <c r="W14" s="56"/>
      <c r="X14" s="56"/>
      <c r="Y14" s="56"/>
      <c r="Z14" s="56"/>
      <c r="AA14" s="64"/>
      <c r="AB14" s="56"/>
      <c r="AC14" s="64"/>
      <c r="AD14" s="64"/>
      <c r="AE14" s="64"/>
      <c r="AF14" s="56"/>
      <c r="AG14" s="64"/>
      <c r="AH14" s="64"/>
      <c r="AI14" s="64"/>
      <c r="AJ14" s="61"/>
      <c r="AK14" s="64"/>
      <c r="AL14" s="64"/>
      <c r="AM14" s="64"/>
      <c r="AN14" s="64"/>
      <c r="AO14" s="64"/>
      <c r="AP14" s="64"/>
      <c r="AQ14" s="64"/>
      <c r="AR14" s="64"/>
      <c r="AS14" s="64"/>
      <c r="AT14" s="61"/>
      <c r="AU14" s="61"/>
      <c r="AV14" s="56"/>
      <c r="AW14" s="65"/>
      <c r="AX14" s="56"/>
      <c r="AY14" s="56"/>
      <c r="AZ14" s="56"/>
      <c r="BA14" s="56"/>
      <c r="BB14" s="56"/>
      <c r="BC14" s="56"/>
      <c r="BD14" s="56"/>
      <c r="BE14" s="56"/>
      <c r="BF14" s="56"/>
      <c r="BG14" s="56"/>
      <c r="BH14" s="56"/>
      <c r="BI14" s="56"/>
      <c r="BJ14" s="56"/>
      <c r="BK14" s="66"/>
      <c r="BL14" s="56"/>
      <c r="BM14" s="56"/>
      <c r="BO14" s="68"/>
    </row>
    <row r="15" spans="1:77" s="67" customFormat="1" x14ac:dyDescent="0.25">
      <c r="A15" s="56" t="s">
        <v>99</v>
      </c>
      <c r="B15" s="57">
        <v>3004</v>
      </c>
      <c r="C15" s="58" t="s">
        <v>170</v>
      </c>
      <c r="D15" s="56" t="s">
        <v>171</v>
      </c>
      <c r="E15" s="56" t="s">
        <v>185</v>
      </c>
      <c r="F15" s="59" t="s">
        <v>186</v>
      </c>
      <c r="G15" s="56" t="s">
        <v>142</v>
      </c>
      <c r="H15" s="60" t="s">
        <v>174</v>
      </c>
      <c r="I15" s="61" t="s">
        <v>28</v>
      </c>
      <c r="J15" s="61"/>
      <c r="K15" s="62"/>
      <c r="L15" s="56"/>
      <c r="M15" s="56"/>
      <c r="N15" s="63" t="s">
        <v>158</v>
      </c>
      <c r="O15" s="56"/>
      <c r="P15" s="56"/>
      <c r="Q15" s="60"/>
      <c r="R15" s="56"/>
      <c r="S15" s="56"/>
      <c r="T15" s="56"/>
      <c r="U15" s="56"/>
      <c r="V15" s="56"/>
      <c r="W15" s="56"/>
      <c r="X15" s="56"/>
      <c r="Y15" s="56"/>
      <c r="Z15" s="56"/>
      <c r="AA15" s="64"/>
      <c r="AB15" s="56" t="s">
        <v>175</v>
      </c>
      <c r="AC15" s="64"/>
      <c r="AD15" s="64"/>
      <c r="AE15" s="64"/>
      <c r="AF15" s="56" t="s">
        <v>171</v>
      </c>
      <c r="AG15" s="64"/>
      <c r="AH15" s="64"/>
      <c r="AI15" s="64"/>
      <c r="AJ15" s="61" t="s">
        <v>176</v>
      </c>
      <c r="AK15" s="64"/>
      <c r="AL15" s="64"/>
      <c r="AM15" s="64"/>
      <c r="AN15" s="64"/>
      <c r="AO15" s="64"/>
      <c r="AP15" s="64"/>
      <c r="AQ15" s="64"/>
      <c r="AR15" s="64"/>
      <c r="AS15" s="64"/>
      <c r="AT15" s="61" t="s">
        <v>152</v>
      </c>
      <c r="AU15" s="61" t="s">
        <v>177</v>
      </c>
      <c r="AV15" s="56" t="s">
        <v>138</v>
      </c>
      <c r="AW15" s="65" t="s">
        <v>187</v>
      </c>
      <c r="AX15" s="56"/>
      <c r="AY15" s="56"/>
      <c r="AZ15" s="56"/>
      <c r="BA15" s="56" t="s">
        <v>176</v>
      </c>
      <c r="BB15" s="56" t="s">
        <v>188</v>
      </c>
      <c r="BC15" s="56" t="s">
        <v>189</v>
      </c>
      <c r="BD15" s="56"/>
      <c r="BE15" s="56"/>
      <c r="BF15" s="56"/>
      <c r="BG15" s="56"/>
      <c r="BH15" s="56"/>
      <c r="BI15" s="56"/>
      <c r="BJ15" s="56"/>
      <c r="BK15" s="66"/>
      <c r="BL15" s="56"/>
      <c r="BM15" s="56"/>
      <c r="BO15" s="68"/>
    </row>
    <row r="16" spans="1:77" s="67" customFormat="1" x14ac:dyDescent="0.25">
      <c r="A16" s="56" t="s">
        <v>99</v>
      </c>
      <c r="B16" s="57">
        <v>3004</v>
      </c>
      <c r="C16" s="58" t="s">
        <v>170</v>
      </c>
      <c r="D16" s="56" t="s">
        <v>171</v>
      </c>
      <c r="E16" s="56" t="s">
        <v>185</v>
      </c>
      <c r="F16" s="59" t="s">
        <v>190</v>
      </c>
      <c r="G16" s="56" t="s">
        <v>142</v>
      </c>
      <c r="H16" s="60" t="s">
        <v>174</v>
      </c>
      <c r="I16" s="61" t="s">
        <v>28</v>
      </c>
      <c r="J16" s="61"/>
      <c r="K16" s="62"/>
      <c r="L16" s="56"/>
      <c r="M16" s="56"/>
      <c r="N16" s="63" t="s">
        <v>158</v>
      </c>
      <c r="O16" s="56"/>
      <c r="P16" s="56"/>
      <c r="Q16" s="60"/>
      <c r="R16" s="56"/>
      <c r="S16" s="56"/>
      <c r="T16" s="56"/>
      <c r="U16" s="56"/>
      <c r="V16" s="56"/>
      <c r="W16" s="56"/>
      <c r="X16" s="56"/>
      <c r="Y16" s="56"/>
      <c r="Z16" s="56"/>
      <c r="AA16" s="64"/>
      <c r="AB16" s="56" t="s">
        <v>175</v>
      </c>
      <c r="AC16" s="64"/>
      <c r="AD16" s="64"/>
      <c r="AE16" s="64"/>
      <c r="AF16" s="56" t="s">
        <v>171</v>
      </c>
      <c r="AG16" s="64"/>
      <c r="AH16" s="64"/>
      <c r="AI16" s="64"/>
      <c r="AJ16" s="61" t="s">
        <v>176</v>
      </c>
      <c r="AK16" s="64"/>
      <c r="AL16" s="64"/>
      <c r="AM16" s="64"/>
      <c r="AN16" s="64"/>
      <c r="AO16" s="64"/>
      <c r="AP16" s="64"/>
      <c r="AQ16" s="64"/>
      <c r="AR16" s="64"/>
      <c r="AS16" s="64"/>
      <c r="AT16" s="61" t="s">
        <v>152</v>
      </c>
      <c r="AU16" s="61" t="s">
        <v>177</v>
      </c>
      <c r="AV16" s="56" t="s">
        <v>138</v>
      </c>
      <c r="AW16" s="65" t="s">
        <v>178</v>
      </c>
      <c r="AX16" s="56"/>
      <c r="AY16" s="56"/>
      <c r="AZ16" s="56"/>
      <c r="BA16" s="56" t="s">
        <v>176</v>
      </c>
      <c r="BB16" s="56" t="s">
        <v>179</v>
      </c>
      <c r="BC16" s="56" t="s">
        <v>180</v>
      </c>
      <c r="BD16" s="56"/>
      <c r="BE16" s="56"/>
      <c r="BF16" s="56"/>
      <c r="BG16" s="56"/>
      <c r="BH16" s="56"/>
      <c r="BI16" s="56"/>
      <c r="BJ16" s="56"/>
      <c r="BK16" s="66"/>
      <c r="BL16" s="56"/>
      <c r="BM16" s="56"/>
      <c r="BO16" s="68"/>
    </row>
    <row r="17" spans="1:69" s="67" customFormat="1" x14ac:dyDescent="0.25">
      <c r="A17" s="56"/>
      <c r="B17" s="57"/>
      <c r="C17" s="58"/>
      <c r="D17" s="56"/>
      <c r="E17" s="56"/>
      <c r="F17" s="59"/>
      <c r="G17" s="56"/>
      <c r="H17" s="60"/>
      <c r="I17" s="61"/>
      <c r="J17" s="61"/>
      <c r="K17" s="62"/>
      <c r="L17" s="56"/>
      <c r="M17" s="56"/>
      <c r="N17" s="63"/>
      <c r="O17" s="56"/>
      <c r="P17" s="56"/>
      <c r="Q17" s="60"/>
      <c r="R17" s="56"/>
      <c r="S17" s="56"/>
      <c r="T17" s="56"/>
      <c r="U17" s="56"/>
      <c r="V17" s="56"/>
      <c r="W17" s="56"/>
      <c r="X17" s="56"/>
      <c r="Y17" s="56"/>
      <c r="Z17" s="56"/>
      <c r="AA17" s="64"/>
      <c r="AB17" s="56"/>
      <c r="AC17" s="64"/>
      <c r="AD17" s="64"/>
      <c r="AE17" s="64"/>
      <c r="AF17" s="56"/>
      <c r="AG17" s="64"/>
      <c r="AH17" s="64"/>
      <c r="AI17" s="64"/>
      <c r="AJ17" s="61"/>
      <c r="AK17" s="64"/>
      <c r="AL17" s="64"/>
      <c r="AM17" s="64"/>
      <c r="AN17" s="64"/>
      <c r="AO17" s="64"/>
      <c r="AP17" s="64"/>
      <c r="AQ17" s="64"/>
      <c r="AR17" s="64"/>
      <c r="AS17" s="64"/>
      <c r="AT17" s="61"/>
      <c r="AU17" s="61"/>
      <c r="AV17" s="56"/>
      <c r="AW17" s="65"/>
      <c r="AX17" s="56"/>
      <c r="AY17" s="56"/>
      <c r="AZ17" s="56"/>
      <c r="BA17" s="56"/>
      <c r="BB17" s="56"/>
      <c r="BC17" s="56"/>
      <c r="BD17" s="56"/>
      <c r="BE17" s="56"/>
      <c r="BF17" s="56"/>
      <c r="BG17" s="56"/>
      <c r="BH17" s="56"/>
      <c r="BI17" s="56"/>
      <c r="BJ17" s="56"/>
      <c r="BK17" s="66"/>
      <c r="BL17" s="56"/>
      <c r="BM17" s="56"/>
      <c r="BO17" s="68"/>
    </row>
    <row r="18" spans="1:69" s="67" customFormat="1" x14ac:dyDescent="0.25">
      <c r="A18" s="56"/>
      <c r="B18" s="57"/>
      <c r="C18" s="58"/>
      <c r="D18" s="56"/>
      <c r="E18" s="56"/>
      <c r="F18" s="59"/>
      <c r="G18" s="56"/>
      <c r="H18" s="60"/>
      <c r="I18" s="61"/>
      <c r="J18" s="61"/>
      <c r="K18" s="62"/>
      <c r="L18" s="56"/>
      <c r="M18" s="56"/>
      <c r="N18" s="63"/>
      <c r="O18" s="56"/>
      <c r="P18" s="56"/>
      <c r="Q18" s="60"/>
      <c r="R18" s="56"/>
      <c r="S18" s="56"/>
      <c r="T18" s="56"/>
      <c r="U18" s="56"/>
      <c r="V18" s="56"/>
      <c r="W18" s="56"/>
      <c r="X18" s="56"/>
      <c r="Y18" s="56"/>
      <c r="Z18" s="56"/>
      <c r="AA18" s="64"/>
      <c r="AB18" s="56"/>
      <c r="AC18" s="64"/>
      <c r="AD18" s="64"/>
      <c r="AE18" s="64"/>
      <c r="AF18" s="56"/>
      <c r="AG18" s="64"/>
      <c r="AH18" s="64"/>
      <c r="AI18" s="64"/>
      <c r="AJ18" s="61"/>
      <c r="AK18" s="64"/>
      <c r="AL18" s="64"/>
      <c r="AM18" s="64"/>
      <c r="AN18" s="64"/>
      <c r="AO18" s="64"/>
      <c r="AP18" s="64"/>
      <c r="AQ18" s="64"/>
      <c r="AR18" s="64"/>
      <c r="AS18" s="64"/>
      <c r="AT18" s="61"/>
      <c r="AU18" s="61"/>
      <c r="AV18" s="56"/>
      <c r="AW18" s="65"/>
      <c r="AX18" s="56"/>
      <c r="AY18" s="56"/>
      <c r="AZ18" s="56"/>
      <c r="BA18" s="56"/>
      <c r="BB18" s="56"/>
      <c r="BC18" s="56"/>
      <c r="BD18" s="56"/>
      <c r="BE18" s="56"/>
      <c r="BF18" s="56"/>
      <c r="BG18" s="56"/>
      <c r="BH18" s="56"/>
      <c r="BI18" s="56"/>
      <c r="BJ18" s="56"/>
      <c r="BK18" s="66"/>
      <c r="BL18" s="56"/>
      <c r="BM18" s="56"/>
      <c r="BO18" s="68"/>
    </row>
    <row r="19" spans="1:69" s="67" customFormat="1" x14ac:dyDescent="0.25">
      <c r="A19" s="56"/>
      <c r="B19" s="57"/>
      <c r="C19" s="58"/>
      <c r="D19" s="56"/>
      <c r="E19" s="56"/>
      <c r="F19" s="59"/>
      <c r="G19" s="56"/>
      <c r="H19" s="60"/>
      <c r="I19" s="61"/>
      <c r="J19" s="61"/>
      <c r="K19" s="62"/>
      <c r="L19" s="56"/>
      <c r="M19" s="56"/>
      <c r="N19" s="63"/>
      <c r="O19" s="56"/>
      <c r="P19" s="56"/>
      <c r="Q19" s="60"/>
      <c r="R19" s="56"/>
      <c r="S19" s="56"/>
      <c r="T19" s="56"/>
      <c r="U19" s="56"/>
      <c r="V19" s="56"/>
      <c r="W19" s="56"/>
      <c r="X19" s="56"/>
      <c r="Y19" s="56"/>
      <c r="Z19" s="56"/>
      <c r="AA19" s="64"/>
      <c r="AB19" s="56"/>
      <c r="AC19" s="64"/>
      <c r="AD19" s="64"/>
      <c r="AE19" s="64"/>
      <c r="AF19" s="56"/>
      <c r="AG19" s="64"/>
      <c r="AH19" s="64"/>
      <c r="AI19" s="64"/>
      <c r="AJ19" s="61"/>
      <c r="AK19" s="64"/>
      <c r="AL19" s="64"/>
      <c r="AM19" s="64"/>
      <c r="AN19" s="64"/>
      <c r="AO19" s="64"/>
      <c r="AP19" s="64"/>
      <c r="AQ19" s="64"/>
      <c r="AR19" s="64"/>
      <c r="AS19" s="64"/>
      <c r="AT19" s="61"/>
      <c r="AU19" s="61"/>
      <c r="AV19" s="56"/>
      <c r="AW19" s="65"/>
      <c r="AX19" s="56"/>
      <c r="AY19" s="56"/>
      <c r="AZ19" s="56"/>
      <c r="BA19" s="56"/>
      <c r="BB19" s="56"/>
      <c r="BC19" s="56"/>
      <c r="BD19" s="56"/>
      <c r="BE19" s="56"/>
      <c r="BF19" s="56"/>
      <c r="BG19" s="56"/>
      <c r="BH19" s="56"/>
      <c r="BI19" s="56"/>
      <c r="BJ19" s="56"/>
      <c r="BK19" s="66"/>
      <c r="BL19" s="56"/>
      <c r="BM19" s="56"/>
      <c r="BO19" s="68"/>
    </row>
    <row r="20" spans="1:69" s="67" customFormat="1" x14ac:dyDescent="0.25">
      <c r="A20" s="56" t="s">
        <v>99</v>
      </c>
      <c r="B20" s="57">
        <v>3004</v>
      </c>
      <c r="C20" s="58" t="s">
        <v>170</v>
      </c>
      <c r="D20" s="56" t="s">
        <v>171</v>
      </c>
      <c r="E20" s="56" t="s">
        <v>172</v>
      </c>
      <c r="F20" s="59" t="s">
        <v>191</v>
      </c>
      <c r="G20" s="56" t="s">
        <v>142</v>
      </c>
      <c r="H20" s="60" t="s">
        <v>174</v>
      </c>
      <c r="I20" s="61" t="s">
        <v>28</v>
      </c>
      <c r="J20" s="61"/>
      <c r="K20" s="62"/>
      <c r="L20" s="56"/>
      <c r="M20" s="56"/>
      <c r="N20" s="63" t="s">
        <v>158</v>
      </c>
      <c r="O20" s="56"/>
      <c r="P20" s="56"/>
      <c r="Q20" s="60"/>
      <c r="R20" s="56"/>
      <c r="S20" s="56"/>
      <c r="T20" s="56"/>
      <c r="U20" s="56"/>
      <c r="V20" s="56"/>
      <c r="W20" s="56"/>
      <c r="X20" s="56"/>
      <c r="Y20" s="56"/>
      <c r="Z20" s="56"/>
      <c r="AA20" s="64"/>
      <c r="AB20" s="56" t="s">
        <v>175</v>
      </c>
      <c r="AC20" s="64"/>
      <c r="AD20" s="64"/>
      <c r="AE20" s="64"/>
      <c r="AF20" s="56" t="s">
        <v>171</v>
      </c>
      <c r="AG20" s="64"/>
      <c r="AH20" s="64"/>
      <c r="AI20" s="64"/>
      <c r="AJ20" s="61" t="s">
        <v>176</v>
      </c>
      <c r="AK20" s="64"/>
      <c r="AL20" s="64"/>
      <c r="AM20" s="64"/>
      <c r="AN20" s="64"/>
      <c r="AO20" s="64"/>
      <c r="AP20" s="64"/>
      <c r="AQ20" s="64"/>
      <c r="AR20" s="64"/>
      <c r="AS20" s="64"/>
      <c r="AT20" s="61" t="s">
        <v>152</v>
      </c>
      <c r="AU20" s="61" t="s">
        <v>177</v>
      </c>
      <c r="AV20" s="56" t="s">
        <v>192</v>
      </c>
      <c r="AW20" s="65" t="s">
        <v>193</v>
      </c>
      <c r="AX20" s="56"/>
      <c r="AY20" s="56"/>
      <c r="AZ20" s="56"/>
      <c r="BA20" s="56" t="s">
        <v>176</v>
      </c>
      <c r="BB20" s="56" t="s">
        <v>194</v>
      </c>
      <c r="BC20" s="56" t="s">
        <v>195</v>
      </c>
      <c r="BD20" s="56"/>
      <c r="BE20" s="56"/>
      <c r="BF20" s="56"/>
      <c r="BG20" s="56"/>
      <c r="BH20" s="56"/>
      <c r="BI20" s="56"/>
      <c r="BJ20" s="56"/>
      <c r="BK20" s="66"/>
      <c r="BL20" s="56"/>
      <c r="BM20" s="56"/>
      <c r="BO20" s="68"/>
    </row>
    <row r="21" spans="1:69" s="67" customFormat="1" x14ac:dyDescent="0.25">
      <c r="A21" s="56" t="s">
        <v>99</v>
      </c>
      <c r="B21" s="57">
        <v>3004</v>
      </c>
      <c r="C21" s="58" t="s">
        <v>170</v>
      </c>
      <c r="D21" s="56" t="s">
        <v>171</v>
      </c>
      <c r="E21" s="56" t="s">
        <v>172</v>
      </c>
      <c r="F21" s="59" t="s">
        <v>196</v>
      </c>
      <c r="G21" s="56" t="s">
        <v>142</v>
      </c>
      <c r="H21" s="60" t="s">
        <v>174</v>
      </c>
      <c r="I21" s="61" t="s">
        <v>28</v>
      </c>
      <c r="J21" s="61"/>
      <c r="K21" s="62"/>
      <c r="L21" s="56"/>
      <c r="M21" s="56"/>
      <c r="N21" s="63" t="s">
        <v>158</v>
      </c>
      <c r="O21" s="56"/>
      <c r="P21" s="56"/>
      <c r="Q21" s="60"/>
      <c r="R21" s="56"/>
      <c r="S21" s="56"/>
      <c r="T21" s="56"/>
      <c r="U21" s="56"/>
      <c r="V21" s="56"/>
      <c r="W21" s="56"/>
      <c r="X21" s="56"/>
      <c r="Y21" s="56"/>
      <c r="Z21" s="56"/>
      <c r="AA21" s="64"/>
      <c r="AB21" s="56" t="s">
        <v>175</v>
      </c>
      <c r="AC21" s="64"/>
      <c r="AD21" s="64"/>
      <c r="AE21" s="64"/>
      <c r="AF21" s="56" t="s">
        <v>171</v>
      </c>
      <c r="AG21" s="64"/>
      <c r="AH21" s="64"/>
      <c r="AI21" s="64"/>
      <c r="AJ21" s="61" t="s">
        <v>176</v>
      </c>
      <c r="AK21" s="64"/>
      <c r="AL21" s="64"/>
      <c r="AM21" s="64"/>
      <c r="AN21" s="64"/>
      <c r="AO21" s="64"/>
      <c r="AP21" s="64"/>
      <c r="AQ21" s="64"/>
      <c r="AR21" s="64"/>
      <c r="AS21" s="64"/>
      <c r="AT21" s="61" t="s">
        <v>152</v>
      </c>
      <c r="AU21" s="61" t="s">
        <v>177</v>
      </c>
      <c r="AV21" s="56" t="s">
        <v>138</v>
      </c>
      <c r="AW21" s="65" t="s">
        <v>197</v>
      </c>
      <c r="AX21" s="56"/>
      <c r="AY21" s="56"/>
      <c r="AZ21" s="56"/>
      <c r="BA21" s="56" t="s">
        <v>176</v>
      </c>
      <c r="BB21" s="56" t="s">
        <v>198</v>
      </c>
      <c r="BC21" s="56" t="s">
        <v>199</v>
      </c>
      <c r="BD21" s="56"/>
      <c r="BE21" s="56"/>
      <c r="BF21" s="56"/>
      <c r="BG21" s="56"/>
      <c r="BH21" s="56"/>
      <c r="BI21" s="56"/>
      <c r="BJ21" s="56"/>
      <c r="BK21" s="66"/>
      <c r="BL21" s="56"/>
      <c r="BM21" s="56"/>
      <c r="BO21" s="68"/>
    </row>
    <row r="22" spans="1:69" s="67" customFormat="1" x14ac:dyDescent="0.25">
      <c r="A22" s="56" t="s">
        <v>99</v>
      </c>
      <c r="B22" s="57">
        <v>3004</v>
      </c>
      <c r="C22" s="58" t="s">
        <v>170</v>
      </c>
      <c r="D22" s="56" t="s">
        <v>171</v>
      </c>
      <c r="E22" s="56" t="s">
        <v>172</v>
      </c>
      <c r="F22" s="59" t="s">
        <v>200</v>
      </c>
      <c r="G22" s="56" t="s">
        <v>142</v>
      </c>
      <c r="H22" s="60" t="s">
        <v>174</v>
      </c>
      <c r="I22" s="61" t="s">
        <v>28</v>
      </c>
      <c r="J22" s="61"/>
      <c r="K22" s="62"/>
      <c r="L22" s="56"/>
      <c r="M22" s="56"/>
      <c r="N22" s="63" t="s">
        <v>158</v>
      </c>
      <c r="O22" s="56"/>
      <c r="P22" s="56"/>
      <c r="Q22" s="60"/>
      <c r="R22" s="56"/>
      <c r="S22" s="56"/>
      <c r="T22" s="56"/>
      <c r="U22" s="56"/>
      <c r="V22" s="56"/>
      <c r="W22" s="56"/>
      <c r="X22" s="56"/>
      <c r="Y22" s="56"/>
      <c r="Z22" s="56"/>
      <c r="AA22" s="64"/>
      <c r="AB22" s="56" t="s">
        <v>175</v>
      </c>
      <c r="AC22" s="64"/>
      <c r="AD22" s="64"/>
      <c r="AE22" s="64"/>
      <c r="AF22" s="56" t="s">
        <v>171</v>
      </c>
      <c r="AG22" s="64"/>
      <c r="AH22" s="64"/>
      <c r="AI22" s="64"/>
      <c r="AJ22" s="61" t="s">
        <v>176</v>
      </c>
      <c r="AK22" s="64"/>
      <c r="AL22" s="64"/>
      <c r="AM22" s="64"/>
      <c r="AN22" s="64"/>
      <c r="AO22" s="64"/>
      <c r="AP22" s="64"/>
      <c r="AQ22" s="64"/>
      <c r="AR22" s="64"/>
      <c r="AS22" s="64"/>
      <c r="AT22" s="61" t="s">
        <v>152</v>
      </c>
      <c r="AU22" s="61" t="s">
        <v>177</v>
      </c>
      <c r="AV22" s="56" t="s">
        <v>138</v>
      </c>
      <c r="AW22" s="65" t="s">
        <v>197</v>
      </c>
      <c r="AX22" s="56"/>
      <c r="AY22" s="56"/>
      <c r="AZ22" s="56"/>
      <c r="BA22" s="56" t="s">
        <v>176</v>
      </c>
      <c r="BB22" s="56" t="s">
        <v>198</v>
      </c>
      <c r="BC22" s="56" t="s">
        <v>199</v>
      </c>
      <c r="BD22" s="56"/>
      <c r="BE22" s="56"/>
      <c r="BF22" s="56"/>
      <c r="BG22" s="56"/>
      <c r="BH22" s="56"/>
      <c r="BI22" s="56"/>
      <c r="BJ22" s="56"/>
      <c r="BK22" s="66"/>
      <c r="BL22" s="56"/>
      <c r="BM22" s="56"/>
      <c r="BO22" s="68"/>
    </row>
    <row r="23" spans="1:69" s="67" customFormat="1" x14ac:dyDescent="0.25">
      <c r="A23" s="56" t="s">
        <v>99</v>
      </c>
      <c r="B23" s="57">
        <v>1500</v>
      </c>
      <c r="C23" s="58" t="s">
        <v>201</v>
      </c>
      <c r="D23" s="56" t="s">
        <v>202</v>
      </c>
      <c r="E23" s="56" t="s">
        <v>172</v>
      </c>
      <c r="F23" s="59" t="s">
        <v>203</v>
      </c>
      <c r="G23" s="56" t="s">
        <v>142</v>
      </c>
      <c r="H23" s="60" t="s">
        <v>204</v>
      </c>
      <c r="I23" s="61" t="s">
        <v>177</v>
      </c>
      <c r="J23" s="61"/>
      <c r="K23" s="62"/>
      <c r="L23" s="56"/>
      <c r="M23" s="56"/>
      <c r="N23" s="63" t="s">
        <v>158</v>
      </c>
      <c r="O23" s="56"/>
      <c r="P23" s="56"/>
      <c r="Q23" s="60"/>
      <c r="R23" s="56"/>
      <c r="S23" s="56"/>
      <c r="T23" s="56"/>
      <c r="U23" s="56"/>
      <c r="V23" s="56"/>
      <c r="W23" s="56"/>
      <c r="X23" s="56"/>
      <c r="Y23" s="56"/>
      <c r="Z23" s="56"/>
      <c r="AA23" s="64"/>
      <c r="AB23" s="56" t="s">
        <v>205</v>
      </c>
      <c r="AC23" s="64"/>
      <c r="AD23" s="64"/>
      <c r="AE23" s="64"/>
      <c r="AF23" s="56" t="s">
        <v>206</v>
      </c>
      <c r="AG23" s="64"/>
      <c r="AH23" s="64"/>
      <c r="AI23" s="64"/>
      <c r="AJ23" s="61" t="s">
        <v>176</v>
      </c>
      <c r="AK23" s="64"/>
      <c r="AL23" s="64"/>
      <c r="AM23" s="64"/>
      <c r="AN23" s="64"/>
      <c r="AO23" s="64"/>
      <c r="AP23" s="64"/>
      <c r="AQ23" s="64"/>
      <c r="AR23" s="64"/>
      <c r="AS23" s="64"/>
      <c r="AT23" s="61" t="s">
        <v>152</v>
      </c>
      <c r="AU23" s="61" t="s">
        <v>177</v>
      </c>
      <c r="AV23" s="56" t="s">
        <v>207</v>
      </c>
      <c r="AW23" s="65" t="s">
        <v>208</v>
      </c>
      <c r="AX23" s="56" t="s">
        <v>209</v>
      </c>
      <c r="AY23" s="56" t="s">
        <v>210</v>
      </c>
      <c r="AZ23" s="56"/>
      <c r="BA23" s="56"/>
      <c r="BB23" s="56"/>
      <c r="BC23" s="56"/>
      <c r="BD23" s="56"/>
      <c r="BE23" s="56"/>
      <c r="BF23" s="56"/>
      <c r="BG23" s="56"/>
      <c r="BH23" s="56"/>
      <c r="BI23" s="56"/>
      <c r="BJ23" s="56"/>
      <c r="BK23" s="66"/>
      <c r="BL23" s="56"/>
      <c r="BM23" s="56"/>
      <c r="BO23" s="68"/>
    </row>
    <row r="24" spans="1:69" s="67" customFormat="1" x14ac:dyDescent="0.25">
      <c r="A24" s="56" t="s">
        <v>99</v>
      </c>
      <c r="B24" s="57">
        <v>1500</v>
      </c>
      <c r="C24" s="58" t="s">
        <v>201</v>
      </c>
      <c r="D24" s="56" t="s">
        <v>206</v>
      </c>
      <c r="E24" s="56" t="s">
        <v>206</v>
      </c>
      <c r="F24" s="59" t="s">
        <v>211</v>
      </c>
      <c r="G24" s="56" t="s">
        <v>142</v>
      </c>
      <c r="H24" s="60" t="s">
        <v>204</v>
      </c>
      <c r="I24" s="61" t="s">
        <v>177</v>
      </c>
      <c r="J24" s="61"/>
      <c r="K24" s="62"/>
      <c r="L24" s="56"/>
      <c r="M24" s="56"/>
      <c r="N24" s="63" t="s">
        <v>158</v>
      </c>
      <c r="O24" s="56"/>
      <c r="P24" s="56"/>
      <c r="Q24" s="60"/>
      <c r="R24" s="56"/>
      <c r="S24" s="56"/>
      <c r="T24" s="56"/>
      <c r="U24" s="56"/>
      <c r="V24" s="56"/>
      <c r="W24" s="56"/>
      <c r="X24" s="56"/>
      <c r="Y24" s="56"/>
      <c r="Z24" s="56"/>
      <c r="AA24" s="64"/>
      <c r="AB24" s="56" t="s">
        <v>205</v>
      </c>
      <c r="AC24" s="64"/>
      <c r="AD24" s="64"/>
      <c r="AE24" s="64"/>
      <c r="AF24" s="56" t="s">
        <v>206</v>
      </c>
      <c r="AG24" s="64"/>
      <c r="AH24" s="64"/>
      <c r="AI24" s="64"/>
      <c r="AJ24" s="61" t="s">
        <v>160</v>
      </c>
      <c r="AK24" s="64"/>
      <c r="AL24" s="64"/>
      <c r="AM24" s="64"/>
      <c r="AN24" s="64"/>
      <c r="AO24" s="64"/>
      <c r="AP24" s="64"/>
      <c r="AQ24" s="64"/>
      <c r="AR24" s="64"/>
      <c r="AS24" s="64"/>
      <c r="AT24" s="61" t="s">
        <v>152</v>
      </c>
      <c r="AU24" s="61" t="s">
        <v>177</v>
      </c>
      <c r="AV24" s="56" t="s">
        <v>192</v>
      </c>
      <c r="AW24" s="65" t="s">
        <v>212</v>
      </c>
      <c r="AX24" s="56"/>
      <c r="AY24" s="69" t="s">
        <v>213</v>
      </c>
      <c r="AZ24" s="56"/>
      <c r="BA24" s="56"/>
      <c r="BB24" s="56"/>
      <c r="BC24" s="56"/>
      <c r="BD24" s="56"/>
      <c r="BE24" s="56"/>
      <c r="BF24" s="56"/>
      <c r="BG24" s="56"/>
      <c r="BH24" s="56"/>
      <c r="BI24" s="56"/>
      <c r="BJ24" s="56"/>
      <c r="BK24" s="66"/>
      <c r="BL24" s="56"/>
      <c r="BM24" s="56"/>
      <c r="BO24" s="68"/>
    </row>
    <row r="25" spans="1:69" s="67" customFormat="1" x14ac:dyDescent="0.25">
      <c r="A25" s="56" t="s">
        <v>99</v>
      </c>
      <c r="B25" s="70">
        <v>3004</v>
      </c>
      <c r="C25" s="58" t="s">
        <v>214</v>
      </c>
      <c r="D25" s="56" t="s">
        <v>206</v>
      </c>
      <c r="E25" s="56" t="s">
        <v>206</v>
      </c>
      <c r="F25" s="59" t="s">
        <v>215</v>
      </c>
      <c r="G25" s="56" t="s">
        <v>142</v>
      </c>
      <c r="H25" s="60" t="s">
        <v>174</v>
      </c>
      <c r="I25" s="61" t="s">
        <v>177</v>
      </c>
      <c r="J25" s="61"/>
      <c r="K25" s="62"/>
      <c r="L25" s="56"/>
      <c r="M25" s="56"/>
      <c r="N25" s="63" t="s">
        <v>158</v>
      </c>
      <c r="O25" s="56"/>
      <c r="P25" s="56"/>
      <c r="Q25" s="60"/>
      <c r="R25" s="56"/>
      <c r="S25" s="56"/>
      <c r="T25" s="56"/>
      <c r="U25" s="56"/>
      <c r="V25" s="56"/>
      <c r="W25" s="56"/>
      <c r="X25" s="56"/>
      <c r="Y25" s="56"/>
      <c r="Z25" s="56"/>
      <c r="AA25" s="64"/>
      <c r="AB25" s="56" t="s">
        <v>216</v>
      </c>
      <c r="AC25" s="64"/>
      <c r="AD25" s="64"/>
      <c r="AE25" s="64"/>
      <c r="AF25" s="56" t="s">
        <v>206</v>
      </c>
      <c r="AG25" s="64"/>
      <c r="AH25" s="64"/>
      <c r="AI25" s="64"/>
      <c r="AJ25" s="61" t="s">
        <v>160</v>
      </c>
      <c r="AK25" s="64"/>
      <c r="AL25" s="64"/>
      <c r="AM25" s="64"/>
      <c r="AN25" s="64"/>
      <c r="AO25" s="64"/>
      <c r="AP25" s="64"/>
      <c r="AQ25" s="64"/>
      <c r="AR25" s="64"/>
      <c r="AS25" s="64"/>
      <c r="AT25" s="61" t="s">
        <v>152</v>
      </c>
      <c r="AU25" s="61" t="s">
        <v>177</v>
      </c>
      <c r="AV25" s="56" t="s">
        <v>138</v>
      </c>
      <c r="AW25" s="71" t="s">
        <v>217</v>
      </c>
      <c r="AX25" s="56"/>
      <c r="AY25" s="56"/>
      <c r="AZ25" s="56"/>
      <c r="BA25" s="56"/>
      <c r="BB25" s="56"/>
      <c r="BC25" s="56"/>
      <c r="BD25" s="56"/>
      <c r="BE25" s="56"/>
      <c r="BF25" s="56"/>
      <c r="BG25" s="56"/>
      <c r="BH25" s="56"/>
      <c r="BI25" s="56"/>
      <c r="BJ25" s="56"/>
      <c r="BK25" s="66"/>
      <c r="BL25" s="56"/>
      <c r="BM25" s="56"/>
      <c r="BO25" s="68"/>
    </row>
    <row r="26" spans="1:69" s="67" customFormat="1" x14ac:dyDescent="0.25">
      <c r="A26" s="56" t="s">
        <v>99</v>
      </c>
      <c r="B26" s="70">
        <v>3004</v>
      </c>
      <c r="C26" s="58" t="s">
        <v>214</v>
      </c>
      <c r="D26" s="56" t="s">
        <v>206</v>
      </c>
      <c r="E26" s="56" t="s">
        <v>206</v>
      </c>
      <c r="F26" s="59" t="s">
        <v>218</v>
      </c>
      <c r="G26" s="56" t="s">
        <v>142</v>
      </c>
      <c r="H26" s="60" t="s">
        <v>174</v>
      </c>
      <c r="I26" s="61" t="s">
        <v>177</v>
      </c>
      <c r="J26" s="61"/>
      <c r="K26" s="62"/>
      <c r="L26" s="56"/>
      <c r="M26" s="56"/>
      <c r="N26" s="63" t="s">
        <v>158</v>
      </c>
      <c r="O26" s="56"/>
      <c r="P26" s="56"/>
      <c r="Q26" s="60"/>
      <c r="R26" s="56"/>
      <c r="S26" s="56"/>
      <c r="T26" s="56"/>
      <c r="U26" s="56"/>
      <c r="V26" s="56"/>
      <c r="W26" s="56"/>
      <c r="X26" s="56"/>
      <c r="Y26" s="56"/>
      <c r="Z26" s="56"/>
      <c r="AA26" s="64"/>
      <c r="AB26" s="56" t="s">
        <v>216</v>
      </c>
      <c r="AC26" s="64"/>
      <c r="AD26" s="64"/>
      <c r="AE26" s="64"/>
      <c r="AF26" s="56" t="s">
        <v>206</v>
      </c>
      <c r="AG26" s="64"/>
      <c r="AH26" s="64"/>
      <c r="AI26" s="64"/>
      <c r="AJ26" s="61" t="s">
        <v>160</v>
      </c>
      <c r="AK26" s="64"/>
      <c r="AL26" s="64"/>
      <c r="AM26" s="64"/>
      <c r="AN26" s="64"/>
      <c r="AO26" s="64"/>
      <c r="AP26" s="64"/>
      <c r="AQ26" s="64"/>
      <c r="AR26" s="64"/>
      <c r="AS26" s="64"/>
      <c r="AT26" s="61" t="s">
        <v>152</v>
      </c>
      <c r="AU26" s="61" t="s">
        <v>177</v>
      </c>
      <c r="AV26" s="56" t="s">
        <v>207</v>
      </c>
      <c r="AW26" s="65" t="s">
        <v>208</v>
      </c>
      <c r="AX26" s="65" t="s">
        <v>209</v>
      </c>
      <c r="AY26" s="56"/>
      <c r="AZ26" s="56"/>
      <c r="BA26" s="56"/>
      <c r="BB26" s="56"/>
      <c r="BC26" s="56"/>
      <c r="BD26" s="56"/>
      <c r="BE26" s="56"/>
      <c r="BF26" s="56"/>
      <c r="BG26" s="56"/>
      <c r="BH26" s="56"/>
      <c r="BI26" s="56"/>
      <c r="BJ26" s="56"/>
      <c r="BK26" s="56"/>
      <c r="BL26" s="72"/>
      <c r="BM26" s="56"/>
      <c r="BQ26" s="68"/>
    </row>
    <row r="27" spans="1:69" s="67" customFormat="1" x14ac:dyDescent="0.25">
      <c r="A27" s="56" t="s">
        <v>99</v>
      </c>
      <c r="B27" s="70">
        <v>3004</v>
      </c>
      <c r="C27" s="58" t="s">
        <v>214</v>
      </c>
      <c r="D27" s="56" t="s">
        <v>206</v>
      </c>
      <c r="E27" s="56" t="s">
        <v>206</v>
      </c>
      <c r="F27" s="59" t="s">
        <v>219</v>
      </c>
      <c r="G27" s="56" t="s">
        <v>142</v>
      </c>
      <c r="H27" s="60" t="s">
        <v>174</v>
      </c>
      <c r="I27" s="61" t="s">
        <v>177</v>
      </c>
      <c r="J27" s="61"/>
      <c r="K27" s="62"/>
      <c r="L27" s="56"/>
      <c r="M27" s="56"/>
      <c r="N27" s="63" t="s">
        <v>158</v>
      </c>
      <c r="O27" s="56"/>
      <c r="P27" s="56"/>
      <c r="Q27" s="60"/>
      <c r="R27" s="56"/>
      <c r="S27" s="56"/>
      <c r="T27" s="56"/>
      <c r="U27" s="56"/>
      <c r="V27" s="56"/>
      <c r="W27" s="56"/>
      <c r="X27" s="56"/>
      <c r="Y27" s="56"/>
      <c r="Z27" s="56"/>
      <c r="AA27" s="64"/>
      <c r="AB27" s="56" t="s">
        <v>216</v>
      </c>
      <c r="AC27" s="64"/>
      <c r="AD27" s="64"/>
      <c r="AE27" s="64"/>
      <c r="AF27" s="56" t="s">
        <v>206</v>
      </c>
      <c r="AG27" s="64"/>
      <c r="AH27" s="64"/>
      <c r="AI27" s="64"/>
      <c r="AJ27" s="61" t="s">
        <v>160</v>
      </c>
      <c r="AK27" s="64"/>
      <c r="AL27" s="64"/>
      <c r="AM27" s="64"/>
      <c r="AN27" s="64"/>
      <c r="AO27" s="64"/>
      <c r="AP27" s="64"/>
      <c r="AQ27" s="64"/>
      <c r="AR27" s="64"/>
      <c r="AS27" s="64"/>
      <c r="AT27" s="61" t="s">
        <v>152</v>
      </c>
      <c r="AU27" s="61" t="s">
        <v>177</v>
      </c>
      <c r="AV27" s="56" t="s">
        <v>192</v>
      </c>
      <c r="AW27" s="71" t="s">
        <v>220</v>
      </c>
      <c r="AX27" s="56"/>
      <c r="AY27" s="56"/>
      <c r="AZ27" s="56"/>
      <c r="BA27" s="56"/>
      <c r="BB27" s="56"/>
      <c r="BC27" s="56"/>
      <c r="BD27" s="56"/>
      <c r="BE27" s="56"/>
      <c r="BF27" s="56"/>
      <c r="BG27" s="56"/>
      <c r="BH27" s="56"/>
      <c r="BI27" s="56"/>
      <c r="BJ27" s="56"/>
      <c r="BK27" s="66"/>
      <c r="BL27" s="56"/>
      <c r="BM27" s="56"/>
      <c r="BO27" s="68"/>
    </row>
    <row r="28" spans="1:69" s="67" customFormat="1" x14ac:dyDescent="0.25">
      <c r="A28" s="56" t="s">
        <v>99</v>
      </c>
      <c r="B28" s="73">
        <v>8000</v>
      </c>
      <c r="C28" s="58">
        <v>100211824</v>
      </c>
      <c r="D28" s="56" t="s">
        <v>206</v>
      </c>
      <c r="E28" s="56" t="s">
        <v>206</v>
      </c>
      <c r="F28" s="59" t="s">
        <v>221</v>
      </c>
      <c r="G28" s="56" t="s">
        <v>142</v>
      </c>
      <c r="H28" s="60" t="s">
        <v>222</v>
      </c>
      <c r="I28" s="61" t="s">
        <v>177</v>
      </c>
      <c r="J28" s="61"/>
      <c r="K28" s="62"/>
      <c r="L28" s="56"/>
      <c r="M28" s="56"/>
      <c r="N28" s="63" t="s">
        <v>158</v>
      </c>
      <c r="O28" s="56"/>
      <c r="P28" s="56"/>
      <c r="Q28" s="60"/>
      <c r="R28" s="56"/>
      <c r="S28" s="56"/>
      <c r="T28" s="56"/>
      <c r="U28" s="56"/>
      <c r="V28" s="56"/>
      <c r="W28" s="56"/>
      <c r="X28" s="56"/>
      <c r="Y28" s="56"/>
      <c r="Z28" s="56"/>
      <c r="AA28" s="64"/>
      <c r="AB28" s="56" t="s">
        <v>223</v>
      </c>
      <c r="AC28" s="64"/>
      <c r="AD28" s="64"/>
      <c r="AE28" s="64"/>
      <c r="AF28" s="56" t="s">
        <v>206</v>
      </c>
      <c r="AG28" s="64"/>
      <c r="AH28" s="64"/>
      <c r="AI28" s="64"/>
      <c r="AJ28" s="61" t="s">
        <v>160</v>
      </c>
      <c r="AK28" s="64"/>
      <c r="AL28" s="64"/>
      <c r="AM28" s="64"/>
      <c r="AN28" s="64"/>
      <c r="AO28" s="64"/>
      <c r="AP28" s="64"/>
      <c r="AQ28" s="64"/>
      <c r="AR28" s="64"/>
      <c r="AS28" s="64"/>
      <c r="AT28" s="61" t="s">
        <v>152</v>
      </c>
      <c r="AU28" s="61" t="s">
        <v>177</v>
      </c>
      <c r="AV28" s="56" t="s">
        <v>207</v>
      </c>
      <c r="AW28" s="65" t="s">
        <v>208</v>
      </c>
      <c r="AX28" s="65" t="s">
        <v>209</v>
      </c>
      <c r="AY28" s="56"/>
      <c r="AZ28" s="56"/>
      <c r="BA28" s="56"/>
      <c r="BB28" s="56"/>
      <c r="BC28" s="56"/>
      <c r="BD28" s="56"/>
      <c r="BE28" s="56"/>
      <c r="BF28" s="56"/>
      <c r="BG28" s="56"/>
      <c r="BH28" s="56"/>
      <c r="BI28" s="56"/>
      <c r="BJ28" s="56"/>
      <c r="BK28" s="56"/>
      <c r="BL28" s="72"/>
      <c r="BM28" s="56"/>
      <c r="BQ28" s="68"/>
    </row>
    <row r="29" spans="1:69" s="67" customFormat="1" x14ac:dyDescent="0.25">
      <c r="A29" s="56" t="s">
        <v>99</v>
      </c>
      <c r="B29" s="73">
        <v>8000</v>
      </c>
      <c r="C29" s="74">
        <v>100211824</v>
      </c>
      <c r="D29" s="56" t="s">
        <v>206</v>
      </c>
      <c r="E29" s="56" t="s">
        <v>206</v>
      </c>
      <c r="F29" s="59" t="s">
        <v>224</v>
      </c>
      <c r="G29" s="56" t="s">
        <v>142</v>
      </c>
      <c r="H29" s="60" t="s">
        <v>222</v>
      </c>
      <c r="I29" s="61" t="s">
        <v>177</v>
      </c>
      <c r="J29" s="61"/>
      <c r="K29" s="62"/>
      <c r="L29" s="56"/>
      <c r="M29" s="56"/>
      <c r="N29" s="63" t="s">
        <v>158</v>
      </c>
      <c r="O29" s="56"/>
      <c r="P29" s="56"/>
      <c r="Q29" s="60"/>
      <c r="R29" s="56"/>
      <c r="S29" s="56"/>
      <c r="T29" s="56"/>
      <c r="U29" s="56"/>
      <c r="V29" s="56"/>
      <c r="W29" s="56"/>
      <c r="X29" s="56"/>
      <c r="Y29" s="56"/>
      <c r="Z29" s="56"/>
      <c r="AA29" s="64"/>
      <c r="AB29" s="56" t="s">
        <v>223</v>
      </c>
      <c r="AC29" s="64"/>
      <c r="AD29" s="64"/>
      <c r="AE29" s="64"/>
      <c r="AF29" s="56" t="s">
        <v>206</v>
      </c>
      <c r="AG29" s="64"/>
      <c r="AH29" s="64"/>
      <c r="AI29" s="64"/>
      <c r="AJ29" s="61" t="s">
        <v>160</v>
      </c>
      <c r="AK29" s="64"/>
      <c r="AL29" s="64"/>
      <c r="AM29" s="64"/>
      <c r="AN29" s="64"/>
      <c r="AO29" s="64"/>
      <c r="AP29" s="64"/>
      <c r="AQ29" s="64"/>
      <c r="AR29" s="64"/>
      <c r="AS29" s="64"/>
      <c r="AT29" s="61" t="s">
        <v>152</v>
      </c>
      <c r="AU29" s="61" t="s">
        <v>177</v>
      </c>
      <c r="AV29" s="56" t="s">
        <v>138</v>
      </c>
      <c r="AW29" s="71" t="s">
        <v>225</v>
      </c>
      <c r="AX29" s="56"/>
      <c r="AY29" s="56"/>
      <c r="AZ29" s="56" t="s">
        <v>226</v>
      </c>
      <c r="BA29" s="56"/>
      <c r="BB29" s="56"/>
      <c r="BC29" s="56"/>
      <c r="BD29" s="56"/>
      <c r="BE29" s="56"/>
      <c r="BF29" s="56"/>
      <c r="BG29" s="56"/>
      <c r="BH29" s="56"/>
      <c r="BI29" s="56"/>
      <c r="BJ29" s="56"/>
      <c r="BK29" s="66"/>
      <c r="BL29" s="72"/>
      <c r="BM29" s="56"/>
      <c r="BO29" s="68"/>
    </row>
    <row r="30" spans="1:69" s="67" customFormat="1" x14ac:dyDescent="0.25">
      <c r="A30" s="56" t="s">
        <v>99</v>
      </c>
      <c r="B30" s="73">
        <v>8000</v>
      </c>
      <c r="C30" s="58">
        <v>100211824</v>
      </c>
      <c r="D30" s="56" t="s">
        <v>206</v>
      </c>
      <c r="E30" s="56" t="s">
        <v>206</v>
      </c>
      <c r="F30" s="59" t="s">
        <v>227</v>
      </c>
      <c r="G30" s="56" t="s">
        <v>142</v>
      </c>
      <c r="H30" s="60" t="s">
        <v>222</v>
      </c>
      <c r="I30" s="61" t="s">
        <v>177</v>
      </c>
      <c r="J30" s="61"/>
      <c r="K30" s="62"/>
      <c r="L30" s="56"/>
      <c r="M30" s="56"/>
      <c r="N30" s="63" t="s">
        <v>158</v>
      </c>
      <c r="O30" s="56"/>
      <c r="P30" s="56"/>
      <c r="Q30" s="60"/>
      <c r="R30" s="56"/>
      <c r="S30" s="56"/>
      <c r="T30" s="56"/>
      <c r="U30" s="56"/>
      <c r="V30" s="56"/>
      <c r="W30" s="56"/>
      <c r="X30" s="56"/>
      <c r="Y30" s="56"/>
      <c r="Z30" s="56"/>
      <c r="AA30" s="64"/>
      <c r="AB30" s="56" t="s">
        <v>223</v>
      </c>
      <c r="AC30" s="64"/>
      <c r="AD30" s="64"/>
      <c r="AE30" s="64"/>
      <c r="AF30" s="56" t="s">
        <v>206</v>
      </c>
      <c r="AG30" s="64"/>
      <c r="AH30" s="64"/>
      <c r="AI30" s="64"/>
      <c r="AJ30" s="61" t="s">
        <v>160</v>
      </c>
      <c r="AK30" s="64"/>
      <c r="AL30" s="64"/>
      <c r="AM30" s="64"/>
      <c r="AN30" s="64"/>
      <c r="AO30" s="64"/>
      <c r="AP30" s="64"/>
      <c r="AQ30" s="64"/>
      <c r="AR30" s="64"/>
      <c r="AS30" s="64"/>
      <c r="AT30" s="61" t="s">
        <v>152</v>
      </c>
      <c r="AU30" s="61" t="s">
        <v>177</v>
      </c>
      <c r="AV30" s="56" t="s">
        <v>192</v>
      </c>
      <c r="AW30" s="65" t="s">
        <v>220</v>
      </c>
      <c r="AX30" s="65"/>
      <c r="AY30" s="56"/>
      <c r="AZ30" s="56" t="s">
        <v>226</v>
      </c>
      <c r="BA30" s="56"/>
      <c r="BB30" s="56"/>
      <c r="BC30" s="56"/>
      <c r="BD30" s="56"/>
      <c r="BE30" s="56"/>
      <c r="BF30" s="56"/>
      <c r="BG30" s="56"/>
      <c r="BH30" s="56"/>
      <c r="BI30" s="56"/>
      <c r="BJ30" s="56"/>
      <c r="BK30" s="56"/>
      <c r="BL30" s="72"/>
      <c r="BM30" s="56"/>
      <c r="BQ30" s="68"/>
    </row>
    <row r="31" spans="1:69" s="67" customFormat="1" x14ac:dyDescent="0.25">
      <c r="A31" s="56" t="s">
        <v>99</v>
      </c>
      <c r="B31" s="75">
        <v>7000</v>
      </c>
      <c r="C31" s="58" t="s">
        <v>228</v>
      </c>
      <c r="D31" s="56" t="s">
        <v>206</v>
      </c>
      <c r="E31" s="56" t="s">
        <v>206</v>
      </c>
      <c r="F31" s="59" t="s">
        <v>229</v>
      </c>
      <c r="G31" s="56" t="s">
        <v>142</v>
      </c>
      <c r="H31" s="60" t="s">
        <v>230</v>
      </c>
      <c r="I31" s="61" t="s">
        <v>177</v>
      </c>
      <c r="J31" s="61"/>
      <c r="K31" s="62"/>
      <c r="L31" s="56"/>
      <c r="M31" s="56"/>
      <c r="N31" s="63" t="s">
        <v>158</v>
      </c>
      <c r="O31" s="56"/>
      <c r="P31" s="56"/>
      <c r="Q31" s="60"/>
      <c r="R31" s="56"/>
      <c r="S31" s="56"/>
      <c r="T31" s="56"/>
      <c r="U31" s="56"/>
      <c r="V31" s="56"/>
      <c r="W31" s="56"/>
      <c r="X31" s="56"/>
      <c r="Y31" s="56"/>
      <c r="Z31" s="56"/>
      <c r="AA31" s="64"/>
      <c r="AB31" s="56" t="s">
        <v>231</v>
      </c>
      <c r="AC31" s="64"/>
      <c r="AD31" s="64"/>
      <c r="AE31" s="64"/>
      <c r="AF31" s="56" t="s">
        <v>206</v>
      </c>
      <c r="AG31" s="64"/>
      <c r="AH31" s="64"/>
      <c r="AI31" s="64"/>
      <c r="AJ31" s="61" t="s">
        <v>160</v>
      </c>
      <c r="AK31" s="64"/>
      <c r="AL31" s="64"/>
      <c r="AM31" s="64"/>
      <c r="AN31" s="64"/>
      <c r="AO31" s="64"/>
      <c r="AP31" s="64"/>
      <c r="AQ31" s="64"/>
      <c r="AR31" s="64"/>
      <c r="AS31" s="64"/>
      <c r="AT31" s="61" t="s">
        <v>152</v>
      </c>
      <c r="AU31" s="61" t="s">
        <v>177</v>
      </c>
      <c r="AV31" s="56" t="s">
        <v>138</v>
      </c>
      <c r="AW31" s="71" t="s">
        <v>232</v>
      </c>
      <c r="AX31" s="56"/>
      <c r="AY31" s="56"/>
      <c r="AZ31" s="56"/>
      <c r="BA31" s="56"/>
      <c r="BB31" s="56"/>
      <c r="BC31" s="56"/>
      <c r="BD31" s="56"/>
      <c r="BE31" s="56"/>
      <c r="BF31" s="56"/>
      <c r="BG31" s="56"/>
      <c r="BH31" s="56"/>
      <c r="BI31" s="56"/>
      <c r="BJ31" s="56"/>
      <c r="BK31" s="66"/>
      <c r="BL31" s="56"/>
      <c r="BM31" s="56"/>
      <c r="BO31" s="68"/>
    </row>
    <row r="32" spans="1:69" s="67" customFormat="1" x14ac:dyDescent="0.25">
      <c r="A32" s="56" t="s">
        <v>99</v>
      </c>
      <c r="B32" s="75">
        <v>7000</v>
      </c>
      <c r="C32" s="58" t="s">
        <v>228</v>
      </c>
      <c r="D32" s="56" t="s">
        <v>206</v>
      </c>
      <c r="E32" s="56" t="s">
        <v>206</v>
      </c>
      <c r="F32" s="59" t="s">
        <v>233</v>
      </c>
      <c r="G32" s="56" t="s">
        <v>142</v>
      </c>
      <c r="H32" s="60" t="s">
        <v>230</v>
      </c>
      <c r="I32" s="61" t="s">
        <v>177</v>
      </c>
      <c r="J32" s="61"/>
      <c r="K32" s="62"/>
      <c r="L32" s="56"/>
      <c r="M32" s="56"/>
      <c r="N32" s="63" t="s">
        <v>158</v>
      </c>
      <c r="O32" s="56"/>
      <c r="P32" s="56"/>
      <c r="Q32" s="60"/>
      <c r="R32" s="56"/>
      <c r="S32" s="56"/>
      <c r="T32" s="56"/>
      <c r="U32" s="56"/>
      <c r="V32" s="56"/>
      <c r="W32" s="56"/>
      <c r="X32" s="56"/>
      <c r="Y32" s="56"/>
      <c r="Z32" s="56"/>
      <c r="AA32" s="64"/>
      <c r="AB32" s="56" t="s">
        <v>231</v>
      </c>
      <c r="AC32" s="64"/>
      <c r="AD32" s="64"/>
      <c r="AE32" s="64"/>
      <c r="AF32" s="56" t="s">
        <v>206</v>
      </c>
      <c r="AG32" s="64"/>
      <c r="AH32" s="64"/>
      <c r="AI32" s="64"/>
      <c r="AJ32" s="61" t="s">
        <v>160</v>
      </c>
      <c r="AK32" s="64"/>
      <c r="AL32" s="64"/>
      <c r="AM32" s="64"/>
      <c r="AN32" s="64"/>
      <c r="AO32" s="64"/>
      <c r="AP32" s="64"/>
      <c r="AQ32" s="64"/>
      <c r="AR32" s="64"/>
      <c r="AS32" s="64"/>
      <c r="AT32" s="61" t="s">
        <v>152</v>
      </c>
      <c r="AU32" s="61" t="s">
        <v>177</v>
      </c>
      <c r="AV32" s="56" t="s">
        <v>234</v>
      </c>
      <c r="AW32" s="65" t="s">
        <v>235</v>
      </c>
      <c r="AX32" s="65" t="s">
        <v>236</v>
      </c>
      <c r="AY32" s="56"/>
      <c r="AZ32" s="56"/>
      <c r="BA32" s="56"/>
      <c r="BB32" s="56"/>
      <c r="BC32" s="56"/>
      <c r="BD32" s="56"/>
      <c r="BE32" s="56"/>
      <c r="BF32" s="56"/>
      <c r="BG32" s="56"/>
      <c r="BH32" s="56"/>
      <c r="BI32" s="56"/>
      <c r="BJ32" s="56"/>
      <c r="BK32" s="56"/>
      <c r="BL32" s="72"/>
      <c r="BM32" s="56"/>
      <c r="BQ32" s="68"/>
    </row>
    <row r="33" spans="1:69" s="67" customFormat="1" x14ac:dyDescent="0.25">
      <c r="A33" s="56" t="s">
        <v>99</v>
      </c>
      <c r="B33" s="75">
        <v>7000</v>
      </c>
      <c r="C33" s="58" t="s">
        <v>228</v>
      </c>
      <c r="D33" s="56" t="s">
        <v>206</v>
      </c>
      <c r="E33" s="56" t="s">
        <v>206</v>
      </c>
      <c r="F33" s="59" t="s">
        <v>237</v>
      </c>
      <c r="G33" s="56" t="s">
        <v>142</v>
      </c>
      <c r="H33" s="60" t="s">
        <v>230</v>
      </c>
      <c r="I33" s="61" t="s">
        <v>177</v>
      </c>
      <c r="J33" s="61"/>
      <c r="K33" s="62"/>
      <c r="L33" s="56"/>
      <c r="M33" s="56"/>
      <c r="N33" s="63" t="s">
        <v>158</v>
      </c>
      <c r="O33" s="56"/>
      <c r="P33" s="56"/>
      <c r="Q33" s="60"/>
      <c r="R33" s="56"/>
      <c r="S33" s="56"/>
      <c r="T33" s="56"/>
      <c r="U33" s="56"/>
      <c r="V33" s="56"/>
      <c r="W33" s="56"/>
      <c r="X33" s="56"/>
      <c r="Y33" s="56"/>
      <c r="Z33" s="56"/>
      <c r="AA33" s="64"/>
      <c r="AB33" s="56" t="s">
        <v>231</v>
      </c>
      <c r="AC33" s="64"/>
      <c r="AD33" s="64"/>
      <c r="AE33" s="64"/>
      <c r="AF33" s="56" t="s">
        <v>206</v>
      </c>
      <c r="AG33" s="64"/>
      <c r="AH33" s="64"/>
      <c r="AI33" s="64"/>
      <c r="AJ33" s="61" t="s">
        <v>160</v>
      </c>
      <c r="AK33" s="64"/>
      <c r="AL33" s="64"/>
      <c r="AM33" s="64"/>
      <c r="AN33" s="64"/>
      <c r="AO33" s="64"/>
      <c r="AP33" s="64"/>
      <c r="AQ33" s="64"/>
      <c r="AR33" s="64"/>
      <c r="AS33" s="64"/>
      <c r="AT33" s="61" t="s">
        <v>152</v>
      </c>
      <c r="AU33" s="61" t="s">
        <v>177</v>
      </c>
      <c r="AV33" s="56" t="s">
        <v>207</v>
      </c>
      <c r="AW33" s="65" t="s">
        <v>208</v>
      </c>
      <c r="AX33" s="65" t="s">
        <v>209</v>
      </c>
      <c r="AY33" s="56"/>
      <c r="AZ33" s="56"/>
      <c r="BA33" s="56"/>
      <c r="BB33" s="56"/>
      <c r="BC33" s="56"/>
      <c r="BD33" s="56"/>
      <c r="BE33" s="56"/>
      <c r="BF33" s="56"/>
      <c r="BG33" s="56"/>
      <c r="BH33" s="56"/>
      <c r="BI33" s="56"/>
      <c r="BJ33" s="56"/>
      <c r="BK33" s="56"/>
      <c r="BL33" s="72"/>
      <c r="BM33" s="56"/>
      <c r="BQ33" s="68"/>
    </row>
    <row r="34" spans="1:69" s="67" customFormat="1" x14ac:dyDescent="0.25">
      <c r="A34" s="56" t="s">
        <v>99</v>
      </c>
      <c r="B34" s="75">
        <v>7000</v>
      </c>
      <c r="C34" s="58" t="s">
        <v>228</v>
      </c>
      <c r="D34" s="56" t="s">
        <v>206</v>
      </c>
      <c r="E34" s="56" t="s">
        <v>206</v>
      </c>
      <c r="F34" s="59" t="s">
        <v>238</v>
      </c>
      <c r="G34" s="56" t="s">
        <v>142</v>
      </c>
      <c r="H34" s="60" t="s">
        <v>230</v>
      </c>
      <c r="I34" s="61" t="s">
        <v>177</v>
      </c>
      <c r="J34" s="61"/>
      <c r="K34" s="62"/>
      <c r="L34" s="56"/>
      <c r="M34" s="56"/>
      <c r="N34" s="63" t="s">
        <v>158</v>
      </c>
      <c r="O34" s="56"/>
      <c r="P34" s="56"/>
      <c r="Q34" s="60"/>
      <c r="R34" s="56"/>
      <c r="S34" s="56"/>
      <c r="T34" s="56"/>
      <c r="U34" s="56"/>
      <c r="V34" s="56"/>
      <c r="W34" s="56"/>
      <c r="X34" s="56"/>
      <c r="Y34" s="56"/>
      <c r="Z34" s="56"/>
      <c r="AA34" s="64"/>
      <c r="AB34" s="56" t="s">
        <v>231</v>
      </c>
      <c r="AC34" s="64"/>
      <c r="AD34" s="64"/>
      <c r="AE34" s="64"/>
      <c r="AF34" s="56" t="s">
        <v>206</v>
      </c>
      <c r="AG34" s="64"/>
      <c r="AH34" s="64"/>
      <c r="AI34" s="64"/>
      <c r="AJ34" s="61" t="s">
        <v>160</v>
      </c>
      <c r="AK34" s="64"/>
      <c r="AL34" s="64"/>
      <c r="AM34" s="64"/>
      <c r="AN34" s="64"/>
      <c r="AO34" s="64"/>
      <c r="AP34" s="64"/>
      <c r="AQ34" s="64"/>
      <c r="AR34" s="64"/>
      <c r="AS34" s="64"/>
      <c r="AT34" s="61" t="s">
        <v>152</v>
      </c>
      <c r="AU34" s="61" t="s">
        <v>177</v>
      </c>
      <c r="AV34" s="56" t="s">
        <v>192</v>
      </c>
      <c r="AW34" s="65" t="s">
        <v>239</v>
      </c>
      <c r="AX34" s="65"/>
      <c r="AY34" s="56"/>
      <c r="AZ34" s="56"/>
      <c r="BA34" s="56"/>
      <c r="BB34" s="56"/>
      <c r="BC34" s="56"/>
      <c r="BD34" s="56"/>
      <c r="BE34" s="56"/>
      <c r="BF34" s="56"/>
      <c r="BG34" s="56"/>
      <c r="BH34" s="56"/>
      <c r="BI34" s="56"/>
      <c r="BJ34" s="56"/>
      <c r="BK34" s="56"/>
      <c r="BL34" s="72"/>
      <c r="BM34" s="56"/>
      <c r="BQ34" s="68"/>
    </row>
    <row r="35" spans="1:69" s="67" customFormat="1" x14ac:dyDescent="0.25">
      <c r="A35" s="56" t="s">
        <v>99</v>
      </c>
      <c r="B35" s="76">
        <v>4400</v>
      </c>
      <c r="C35" s="58" t="s">
        <v>240</v>
      </c>
      <c r="D35" s="56" t="s">
        <v>241</v>
      </c>
      <c r="E35" s="56" t="s">
        <v>206</v>
      </c>
      <c r="F35" s="59" t="s">
        <v>242</v>
      </c>
      <c r="G35" s="56" t="s">
        <v>142</v>
      </c>
      <c r="H35" s="60" t="s">
        <v>243</v>
      </c>
      <c r="I35" s="61" t="s">
        <v>177</v>
      </c>
      <c r="J35" s="61"/>
      <c r="K35" s="62"/>
      <c r="L35" s="56"/>
      <c r="M35" s="56"/>
      <c r="N35" s="63" t="s">
        <v>158</v>
      </c>
      <c r="O35" s="56"/>
      <c r="P35" s="56"/>
      <c r="Q35" s="60"/>
      <c r="R35" s="56"/>
      <c r="S35" s="56"/>
      <c r="T35" s="56"/>
      <c r="U35" s="56"/>
      <c r="V35" s="56"/>
      <c r="W35" s="56"/>
      <c r="X35" s="56"/>
      <c r="Y35" s="56"/>
      <c r="Z35" s="56"/>
      <c r="AA35" s="64"/>
      <c r="AB35" s="56" t="s">
        <v>244</v>
      </c>
      <c r="AC35" s="64"/>
      <c r="AD35" s="64"/>
      <c r="AE35" s="64"/>
      <c r="AF35" s="56" t="s">
        <v>206</v>
      </c>
      <c r="AG35" s="64"/>
      <c r="AH35" s="64"/>
      <c r="AI35" s="64"/>
      <c r="AJ35" s="61" t="s">
        <v>160</v>
      </c>
      <c r="AK35" s="64"/>
      <c r="AL35" s="64"/>
      <c r="AM35" s="64"/>
      <c r="AN35" s="64"/>
      <c r="AO35" s="64"/>
      <c r="AP35" s="64"/>
      <c r="AQ35" s="64"/>
      <c r="AR35" s="64"/>
      <c r="AS35" s="64"/>
      <c r="AT35" s="61" t="s">
        <v>152</v>
      </c>
      <c r="AU35" s="61" t="s">
        <v>177</v>
      </c>
      <c r="AV35" s="56" t="s">
        <v>234</v>
      </c>
      <c r="AW35" s="65" t="s">
        <v>245</v>
      </c>
      <c r="AX35" s="65" t="s">
        <v>246</v>
      </c>
      <c r="AY35" s="56"/>
      <c r="AZ35" s="56"/>
      <c r="BA35" s="56"/>
      <c r="BB35" s="56"/>
      <c r="BC35" s="56"/>
      <c r="BD35" s="56"/>
      <c r="BE35" s="56"/>
      <c r="BF35" s="56"/>
      <c r="BG35" s="56"/>
      <c r="BH35" s="56"/>
      <c r="BI35" s="56"/>
      <c r="BJ35" s="56"/>
      <c r="BK35" s="56"/>
      <c r="BL35" s="72"/>
      <c r="BM35" s="56"/>
      <c r="BQ35" s="68"/>
    </row>
    <row r="36" spans="1:69" s="67" customFormat="1" x14ac:dyDescent="0.25">
      <c r="A36" s="56" t="s">
        <v>99</v>
      </c>
      <c r="B36" s="76">
        <v>4400</v>
      </c>
      <c r="C36" s="58" t="s">
        <v>240</v>
      </c>
      <c r="D36" s="56" t="s">
        <v>241</v>
      </c>
      <c r="E36" s="56" t="s">
        <v>206</v>
      </c>
      <c r="F36" s="59" t="s">
        <v>247</v>
      </c>
      <c r="G36" s="56" t="s">
        <v>142</v>
      </c>
      <c r="H36" s="60" t="s">
        <v>243</v>
      </c>
      <c r="I36" s="61" t="s">
        <v>177</v>
      </c>
      <c r="J36" s="61"/>
      <c r="K36" s="62"/>
      <c r="L36" s="56"/>
      <c r="M36" s="56"/>
      <c r="N36" s="63" t="s">
        <v>158</v>
      </c>
      <c r="O36" s="56"/>
      <c r="P36" s="56"/>
      <c r="Q36" s="60"/>
      <c r="R36" s="56"/>
      <c r="S36" s="56"/>
      <c r="T36" s="56"/>
      <c r="U36" s="56"/>
      <c r="V36" s="56"/>
      <c r="W36" s="56"/>
      <c r="X36" s="56"/>
      <c r="Y36" s="56"/>
      <c r="Z36" s="56"/>
      <c r="AA36" s="64"/>
      <c r="AB36" s="56" t="s">
        <v>244</v>
      </c>
      <c r="AC36" s="64"/>
      <c r="AD36" s="64"/>
      <c r="AE36" s="64"/>
      <c r="AF36" s="56" t="s">
        <v>206</v>
      </c>
      <c r="AG36" s="64"/>
      <c r="AH36" s="64"/>
      <c r="AI36" s="64"/>
      <c r="AJ36" s="61" t="s">
        <v>160</v>
      </c>
      <c r="AK36" s="64"/>
      <c r="AL36" s="64"/>
      <c r="AM36" s="64"/>
      <c r="AN36" s="64"/>
      <c r="AO36" s="64"/>
      <c r="AP36" s="64"/>
      <c r="AQ36" s="64"/>
      <c r="AR36" s="64"/>
      <c r="AS36" s="64"/>
      <c r="AT36" s="61" t="s">
        <v>152</v>
      </c>
      <c r="AU36" s="61" t="s">
        <v>177</v>
      </c>
      <c r="AV36" s="56" t="s">
        <v>138</v>
      </c>
      <c r="AW36" s="71" t="s">
        <v>248</v>
      </c>
      <c r="AX36" s="65"/>
      <c r="AY36" s="56"/>
      <c r="AZ36" s="56"/>
      <c r="BA36" s="56"/>
      <c r="BB36" s="56"/>
      <c r="BC36" s="56"/>
      <c r="BD36" s="56"/>
      <c r="BE36" s="56"/>
      <c r="BF36" s="56"/>
      <c r="BG36" s="56"/>
      <c r="BH36" s="56"/>
      <c r="BI36" s="56"/>
      <c r="BJ36" s="56"/>
      <c r="BK36" s="56"/>
      <c r="BL36" s="72"/>
      <c r="BM36" s="56"/>
      <c r="BQ36" s="68"/>
    </row>
    <row r="37" spans="1:69" s="67" customFormat="1" x14ac:dyDescent="0.25">
      <c r="A37" s="56" t="s">
        <v>99</v>
      </c>
      <c r="B37" s="76">
        <v>4400</v>
      </c>
      <c r="C37" s="58" t="s">
        <v>240</v>
      </c>
      <c r="D37" s="56" t="s">
        <v>241</v>
      </c>
      <c r="E37" s="56" t="s">
        <v>206</v>
      </c>
      <c r="F37" s="59" t="s">
        <v>249</v>
      </c>
      <c r="G37" s="56" t="s">
        <v>142</v>
      </c>
      <c r="H37" s="60" t="s">
        <v>243</v>
      </c>
      <c r="I37" s="61" t="s">
        <v>177</v>
      </c>
      <c r="J37" s="61"/>
      <c r="K37" s="62"/>
      <c r="L37" s="56"/>
      <c r="M37" s="56"/>
      <c r="N37" s="63" t="s">
        <v>158</v>
      </c>
      <c r="O37" s="56"/>
      <c r="P37" s="56"/>
      <c r="Q37" s="60"/>
      <c r="R37" s="56"/>
      <c r="S37" s="56"/>
      <c r="T37" s="56"/>
      <c r="U37" s="56"/>
      <c r="V37" s="56"/>
      <c r="W37" s="56"/>
      <c r="X37" s="56"/>
      <c r="Y37" s="56"/>
      <c r="Z37" s="56"/>
      <c r="AA37" s="64"/>
      <c r="AB37" s="56" t="s">
        <v>244</v>
      </c>
      <c r="AC37" s="64"/>
      <c r="AD37" s="64"/>
      <c r="AE37" s="64"/>
      <c r="AF37" s="56" t="s">
        <v>206</v>
      </c>
      <c r="AG37" s="64"/>
      <c r="AH37" s="64"/>
      <c r="AI37" s="64"/>
      <c r="AJ37" s="61" t="s">
        <v>160</v>
      </c>
      <c r="AK37" s="64"/>
      <c r="AL37" s="64"/>
      <c r="AM37" s="64"/>
      <c r="AN37" s="64"/>
      <c r="AO37" s="64"/>
      <c r="AP37" s="64"/>
      <c r="AQ37" s="64"/>
      <c r="AR37" s="64"/>
      <c r="AS37" s="64"/>
      <c r="AT37" s="61" t="s">
        <v>152</v>
      </c>
      <c r="AU37" s="61" t="s">
        <v>177</v>
      </c>
      <c r="AV37" s="56" t="s">
        <v>192</v>
      </c>
      <c r="AW37" s="71" t="s">
        <v>239</v>
      </c>
      <c r="AX37" s="65"/>
      <c r="AY37" s="56"/>
      <c r="AZ37" s="56"/>
      <c r="BA37" s="56"/>
      <c r="BB37" s="56"/>
      <c r="BC37" s="56"/>
      <c r="BD37" s="56"/>
      <c r="BE37" s="56"/>
      <c r="BF37" s="56"/>
      <c r="BG37" s="56"/>
      <c r="BH37" s="56"/>
      <c r="BI37" s="56"/>
      <c r="BJ37" s="56"/>
      <c r="BK37" s="56"/>
      <c r="BL37" s="72"/>
      <c r="BM37" s="56"/>
      <c r="BQ37" s="68"/>
    </row>
    <row r="38" spans="1:69" s="67" customFormat="1" x14ac:dyDescent="0.25">
      <c r="A38" s="56" t="s">
        <v>99</v>
      </c>
      <c r="B38" s="76">
        <v>4400</v>
      </c>
      <c r="C38" s="58" t="s">
        <v>240</v>
      </c>
      <c r="D38" s="56" t="s">
        <v>241</v>
      </c>
      <c r="E38" s="56" t="s">
        <v>206</v>
      </c>
      <c r="F38" s="59" t="s">
        <v>250</v>
      </c>
      <c r="G38" s="56" t="s">
        <v>142</v>
      </c>
      <c r="H38" s="60" t="s">
        <v>243</v>
      </c>
      <c r="I38" s="61" t="s">
        <v>177</v>
      </c>
      <c r="J38" s="61"/>
      <c r="K38" s="62"/>
      <c r="L38" s="56"/>
      <c r="M38" s="56"/>
      <c r="N38" s="63" t="s">
        <v>158</v>
      </c>
      <c r="O38" s="56"/>
      <c r="P38" s="56"/>
      <c r="Q38" s="60"/>
      <c r="R38" s="56"/>
      <c r="S38" s="56"/>
      <c r="T38" s="56"/>
      <c r="U38" s="56"/>
      <c r="V38" s="56"/>
      <c r="W38" s="56"/>
      <c r="X38" s="56"/>
      <c r="Y38" s="56"/>
      <c r="Z38" s="56"/>
      <c r="AA38" s="64"/>
      <c r="AB38" s="56" t="s">
        <v>244</v>
      </c>
      <c r="AC38" s="64"/>
      <c r="AD38" s="64"/>
      <c r="AE38" s="64"/>
      <c r="AF38" s="56" t="s">
        <v>206</v>
      </c>
      <c r="AG38" s="64"/>
      <c r="AH38" s="64"/>
      <c r="AI38" s="64"/>
      <c r="AJ38" s="61" t="s">
        <v>160</v>
      </c>
      <c r="AK38" s="64"/>
      <c r="AL38" s="64"/>
      <c r="AM38" s="64"/>
      <c r="AN38" s="64"/>
      <c r="AO38" s="64"/>
      <c r="AP38" s="64"/>
      <c r="AQ38" s="64"/>
      <c r="AR38" s="64"/>
      <c r="AS38" s="64"/>
      <c r="AT38" s="61" t="s">
        <v>152</v>
      </c>
      <c r="AU38" s="61" t="s">
        <v>177</v>
      </c>
      <c r="AV38" s="56" t="s">
        <v>192</v>
      </c>
      <c r="AW38" s="65" t="s">
        <v>239</v>
      </c>
      <c r="AX38" s="65"/>
      <c r="AY38" s="56"/>
      <c r="AZ38" s="56"/>
      <c r="BA38" s="56"/>
      <c r="BB38" s="56"/>
      <c r="BC38" s="56"/>
      <c r="BD38" s="56"/>
      <c r="BE38" s="56"/>
      <c r="BF38" s="56"/>
      <c r="BG38" s="56"/>
      <c r="BH38" s="56"/>
      <c r="BI38" s="56"/>
      <c r="BJ38" s="56"/>
      <c r="BK38" s="56"/>
      <c r="BL38" s="72"/>
      <c r="BM38" s="56"/>
      <c r="BQ38" s="68"/>
    </row>
    <row r="39" spans="1:69" s="67" customFormat="1" x14ac:dyDescent="0.25">
      <c r="A39" s="56" t="s">
        <v>99</v>
      </c>
      <c r="B39" s="57">
        <v>8101</v>
      </c>
      <c r="C39" s="58">
        <v>100252385</v>
      </c>
      <c r="D39" s="56" t="s">
        <v>206</v>
      </c>
      <c r="E39" s="56" t="s">
        <v>206</v>
      </c>
      <c r="F39" s="59" t="s">
        <v>251</v>
      </c>
      <c r="G39" s="56" t="s">
        <v>142</v>
      </c>
      <c r="H39" s="60" t="s">
        <v>143</v>
      </c>
      <c r="I39" s="61" t="s">
        <v>177</v>
      </c>
      <c r="J39" s="61"/>
      <c r="K39" s="62" t="s">
        <v>252</v>
      </c>
      <c r="L39" s="56"/>
      <c r="M39" s="56"/>
      <c r="N39" s="63" t="s">
        <v>158</v>
      </c>
      <c r="O39" s="56"/>
      <c r="P39" s="56"/>
      <c r="Q39" s="60"/>
      <c r="R39" s="56"/>
      <c r="S39" s="56"/>
      <c r="T39" s="56"/>
      <c r="U39" s="56"/>
      <c r="V39" s="56"/>
      <c r="W39" s="56"/>
      <c r="X39" s="56"/>
      <c r="Y39" s="56"/>
      <c r="Z39" s="56"/>
      <c r="AA39" s="64" t="s">
        <v>147</v>
      </c>
      <c r="AB39" s="56" t="s">
        <v>253</v>
      </c>
      <c r="AC39" s="64">
        <v>5299999999</v>
      </c>
      <c r="AD39" s="64" t="s">
        <v>150</v>
      </c>
      <c r="AE39" s="64" t="s">
        <v>151</v>
      </c>
      <c r="AF39" s="56" t="s">
        <v>206</v>
      </c>
      <c r="AG39" s="64"/>
      <c r="AH39" s="64"/>
      <c r="AI39" s="64"/>
      <c r="AJ39" s="61" t="s">
        <v>160</v>
      </c>
      <c r="AK39" s="64"/>
      <c r="AL39" s="64"/>
      <c r="AM39" s="64"/>
      <c r="AN39" s="64"/>
      <c r="AO39" s="64"/>
      <c r="AP39" s="64"/>
      <c r="AQ39" s="64"/>
      <c r="AR39" s="64"/>
      <c r="AS39" s="64"/>
      <c r="AT39" s="61" t="s">
        <v>152</v>
      </c>
      <c r="AU39" s="61" t="s">
        <v>177</v>
      </c>
      <c r="AV39" s="56" t="s">
        <v>207</v>
      </c>
      <c r="AW39" s="65" t="s">
        <v>254</v>
      </c>
      <c r="AX39" s="65" t="s">
        <v>255</v>
      </c>
      <c r="AY39" s="56"/>
      <c r="AZ39" s="56" t="s">
        <v>256</v>
      </c>
      <c r="BA39" s="56"/>
      <c r="BB39" s="56"/>
      <c r="BC39" s="56"/>
      <c r="BD39" s="56"/>
      <c r="BE39" s="56"/>
      <c r="BF39" s="56"/>
      <c r="BG39" s="56"/>
      <c r="BH39" s="56"/>
      <c r="BI39" s="56"/>
      <c r="BJ39" s="56"/>
      <c r="BK39" s="56" t="s">
        <v>257</v>
      </c>
      <c r="BL39" s="72">
        <v>910100</v>
      </c>
      <c r="BM39" s="56"/>
      <c r="BQ39" s="68"/>
    </row>
    <row r="40" spans="1:69" s="67" customFormat="1" x14ac:dyDescent="0.25">
      <c r="A40" s="56" t="s">
        <v>99</v>
      </c>
      <c r="B40" s="57">
        <v>8101</v>
      </c>
      <c r="C40" s="74">
        <v>100252385</v>
      </c>
      <c r="D40" s="56" t="s">
        <v>206</v>
      </c>
      <c r="E40" s="56" t="s">
        <v>206</v>
      </c>
      <c r="F40" s="59" t="s">
        <v>258</v>
      </c>
      <c r="G40" s="56" t="s">
        <v>142</v>
      </c>
      <c r="H40" s="60" t="s">
        <v>143</v>
      </c>
      <c r="I40" s="61" t="s">
        <v>177</v>
      </c>
      <c r="J40" s="61"/>
      <c r="K40" s="62" t="s">
        <v>252</v>
      </c>
      <c r="L40" s="56"/>
      <c r="M40" s="56"/>
      <c r="N40" s="63" t="s">
        <v>158</v>
      </c>
      <c r="O40" s="56"/>
      <c r="P40" s="56"/>
      <c r="Q40" s="60"/>
      <c r="R40" s="56"/>
      <c r="S40" s="56"/>
      <c r="T40" s="56"/>
      <c r="U40" s="56"/>
      <c r="V40" s="56"/>
      <c r="W40" s="56"/>
      <c r="X40" s="56"/>
      <c r="Y40" s="56"/>
      <c r="Z40" s="56"/>
      <c r="AA40" s="64" t="s">
        <v>147</v>
      </c>
      <c r="AB40" s="56" t="s">
        <v>253</v>
      </c>
      <c r="AC40" s="64">
        <v>5299999999</v>
      </c>
      <c r="AD40" s="64" t="s">
        <v>150</v>
      </c>
      <c r="AE40" s="64" t="s">
        <v>151</v>
      </c>
      <c r="AF40" s="56" t="s">
        <v>206</v>
      </c>
      <c r="AG40" s="64"/>
      <c r="AH40" s="64"/>
      <c r="AI40" s="64"/>
      <c r="AJ40" s="61" t="s">
        <v>160</v>
      </c>
      <c r="AK40" s="64"/>
      <c r="AL40" s="64"/>
      <c r="AM40" s="64"/>
      <c r="AN40" s="64"/>
      <c r="AO40" s="64"/>
      <c r="AP40" s="64"/>
      <c r="AQ40" s="64"/>
      <c r="AR40" s="64"/>
      <c r="AS40" s="64"/>
      <c r="AT40" s="61" t="s">
        <v>152</v>
      </c>
      <c r="AU40" s="61" t="s">
        <v>177</v>
      </c>
      <c r="AV40" s="56" t="s">
        <v>138</v>
      </c>
      <c r="AW40" s="65" t="s">
        <v>259</v>
      </c>
      <c r="AX40" s="56"/>
      <c r="AY40" s="56"/>
      <c r="AZ40" s="56" t="s">
        <v>256</v>
      </c>
      <c r="BA40" s="56"/>
      <c r="BB40" s="56"/>
      <c r="BC40" s="56"/>
      <c r="BD40" s="56"/>
      <c r="BE40" s="56"/>
      <c r="BF40" s="56"/>
      <c r="BG40" s="56"/>
      <c r="BH40" s="56"/>
      <c r="BI40" s="56"/>
      <c r="BJ40" s="56"/>
      <c r="BK40" s="56" t="s">
        <v>257</v>
      </c>
      <c r="BL40" s="72">
        <v>910100</v>
      </c>
      <c r="BM40" s="56"/>
      <c r="BO40" s="68"/>
    </row>
    <row r="41" spans="1:69" s="67" customFormat="1" x14ac:dyDescent="0.25">
      <c r="A41" s="56" t="s">
        <v>99</v>
      </c>
      <c r="B41" s="57">
        <v>8101</v>
      </c>
      <c r="C41" s="58">
        <v>100252385</v>
      </c>
      <c r="D41" s="56" t="s">
        <v>206</v>
      </c>
      <c r="E41" s="56" t="s">
        <v>206</v>
      </c>
      <c r="F41" s="59" t="s">
        <v>260</v>
      </c>
      <c r="G41" s="56" t="s">
        <v>142</v>
      </c>
      <c r="H41" s="60" t="s">
        <v>143</v>
      </c>
      <c r="I41" s="61" t="s">
        <v>177</v>
      </c>
      <c r="J41" s="61"/>
      <c r="K41" s="62" t="s">
        <v>252</v>
      </c>
      <c r="L41" s="56"/>
      <c r="M41" s="56"/>
      <c r="N41" s="63" t="s">
        <v>158</v>
      </c>
      <c r="O41" s="56"/>
      <c r="P41" s="56"/>
      <c r="Q41" s="60"/>
      <c r="R41" s="56"/>
      <c r="S41" s="56"/>
      <c r="T41" s="56"/>
      <c r="U41" s="56"/>
      <c r="V41" s="56"/>
      <c r="W41" s="56"/>
      <c r="X41" s="56"/>
      <c r="Y41" s="56"/>
      <c r="Z41" s="56"/>
      <c r="AA41" s="64" t="s">
        <v>147</v>
      </c>
      <c r="AB41" s="56" t="s">
        <v>253</v>
      </c>
      <c r="AC41" s="64">
        <v>5299999999</v>
      </c>
      <c r="AD41" s="64" t="s">
        <v>150</v>
      </c>
      <c r="AE41" s="64" t="s">
        <v>151</v>
      </c>
      <c r="AF41" s="56" t="s">
        <v>206</v>
      </c>
      <c r="AG41" s="64"/>
      <c r="AH41" s="64"/>
      <c r="AI41" s="64"/>
      <c r="AJ41" s="61" t="s">
        <v>160</v>
      </c>
      <c r="AK41" s="64"/>
      <c r="AL41" s="64"/>
      <c r="AM41" s="64"/>
      <c r="AN41" s="64"/>
      <c r="AO41" s="64"/>
      <c r="AP41" s="64"/>
      <c r="AQ41" s="64"/>
      <c r="AR41" s="64"/>
      <c r="AS41" s="64"/>
      <c r="AT41" s="61" t="s">
        <v>152</v>
      </c>
      <c r="AU41" s="61" t="s">
        <v>177</v>
      </c>
      <c r="AV41" s="56" t="s">
        <v>192</v>
      </c>
      <c r="AW41" s="65" t="s">
        <v>239</v>
      </c>
      <c r="AX41" s="65"/>
      <c r="AY41" s="56"/>
      <c r="AZ41" s="56" t="s">
        <v>256</v>
      </c>
      <c r="BA41" s="56"/>
      <c r="BB41" s="56"/>
      <c r="BC41" s="56"/>
      <c r="BD41" s="56"/>
      <c r="BE41" s="56"/>
      <c r="BF41" s="56"/>
      <c r="BG41" s="56"/>
      <c r="BH41" s="56"/>
      <c r="BI41" s="56"/>
      <c r="BJ41" s="56"/>
      <c r="BK41" s="56" t="s">
        <v>257</v>
      </c>
      <c r="BL41" s="72">
        <v>910100</v>
      </c>
      <c r="BM41" s="56"/>
      <c r="BQ41" s="68"/>
    </row>
    <row r="42" spans="1:69" x14ac:dyDescent="0.25">
      <c r="G42" s="67"/>
      <c r="H42" s="67"/>
      <c r="I42" s="67"/>
      <c r="J42" s="67"/>
    </row>
  </sheetData>
  <mergeCells count="6">
    <mergeCell ref="BM1:BP1"/>
    <mergeCell ref="B1:O1"/>
    <mergeCell ref="P1:R1"/>
    <mergeCell ref="AA1:AI1"/>
    <mergeCell ref="AJ1:AS1"/>
    <mergeCell ref="AT1:BK1"/>
  </mergeCells>
  <dataValidations count="19">
    <dataValidation type="list" allowBlank="1" showInputMessage="1" showErrorMessage="1" sqref="AV3" xr:uid="{0A86E2C9-2917-436F-B554-935552BE827A}">
      <formula1>$BU$2:$BW$2</formula1>
    </dataValidation>
    <dataValidation type="textLength" allowBlank="1" showInputMessage="1" showErrorMessage="1" errorTitle="Max 20 characters" sqref="AE4:AE41 AF11:AF41 AG4:AI41 AE3:AI3" xr:uid="{9C3CB5EE-75C5-49BA-B381-B3949A769DAD}">
      <formula1>0</formula1>
      <formula2>20</formula2>
    </dataValidation>
    <dataValidation type="list" allowBlank="1" showInputMessage="1" showErrorMessage="1" sqref="A3:A41" xr:uid="{0B129CBA-471D-401C-9684-C49096C77CFD}">
      <formula1>$BU$1:$BV$1</formula1>
    </dataValidation>
    <dataValidation type="textLength" allowBlank="1" showInputMessage="1" showErrorMessage="1" errorTitle="Please enter requester" error="At least 4 characters. Maximum 25" promptTitle="Name of the requester" prompt="This field is important for invoice approval process. Also must be populated as if it is empty, the script will fail as it changes the position of the rows in SAP when it is not populated" sqref="AB3:AB41" xr:uid="{C33BF6B6-AE74-44A0-AE52-D2C53BB99150}">
      <formula1>4</formula1>
      <formula2>25</formula2>
    </dataValidation>
    <dataValidation type="textLength" allowBlank="1" showInputMessage="1" showErrorMessage="1" promptTitle="Purchase G/L account" prompt="Mandatory G/L account to post the expense" sqref="AT3:AT41" xr:uid="{6BA0E591-F134-44F2-A11C-147717F70560}">
      <formula1>6</formula1>
      <formula2>6</formula2>
    </dataValidation>
    <dataValidation allowBlank="1" showInputMessage="1" showErrorMessage="1" errorTitle="Invalid date format" promptTitle="Invoice receipt date" prompt="Mandatory for India LBT._x000a_For india lbt, format is dd/mm/yyyy" sqref="AJ3:AS41" xr:uid="{F49D793D-8B3F-4F5E-8BFE-6C6FD6D4DCB4}"/>
    <dataValidation type="textLength" allowBlank="1" showInputMessage="1" showErrorMessage="1" errorTitle="Max 12 characters" promptTitle="Input Ref key 1 field" prompt="Mandatory for India LBT, up to 12 characters" sqref="AC3:AC41" xr:uid="{FF7AB258-7521-4E90-99F1-48192E65F0DB}">
      <formula1>0</formula1>
      <formula2>12</formula2>
    </dataValidation>
    <dataValidation type="textLength" allowBlank="1" showInputMessage="1" showErrorMessage="1" errorTitle="MAx 12 characters" promptTitle="Input Ref key 2" prompt="Text field._x000a_Currently mandatory for Indian Cocds with format_x000a_NL# or_x000a_Y/N + 4 digits for source location + 6 digits for date (ddmmyy)_x000a_example YMH00010114" sqref="AD3:AD41" xr:uid="{8DA506BC-F94D-4CE2-8A42-08FDB0E22817}">
      <formula1>0</formula1>
      <formula2>12</formula2>
    </dataValidation>
    <dataValidation type="textLength" allowBlank="1" showInputMessage="1" showErrorMessage="1" errorTitle="Maximum 50 characters" sqref="L3:O41 S3:Z41" xr:uid="{C69C38F1-CA1C-4B6D-8429-9580616B9FD6}">
      <formula1>0</formula1>
      <formula2>50</formula2>
    </dataValidation>
    <dataValidation type="textLength" allowBlank="1" showInputMessage="1" showErrorMessage="1" errorTitle="invalid tax code lenght" promptTitle="Indicate tax code" prompt="Indicate X0 is no tax is required" sqref="G3:G41" xr:uid="{A96EC5C2-95E0-49E9-B1CD-0F9EF5340B3C}">
      <formula1>2</formula1>
      <formula2>2</formula2>
    </dataValidation>
    <dataValidation type="textLength" allowBlank="1" showInputMessage="1" showErrorMessage="1" errorTitle="Invalid company code" error="Company code must be 4 digits" promptTitle="Indicate company code" prompt="Indicate company code (4 digits)" sqref="B3:B41" xr:uid="{74364D59-C5BA-4B7F-A011-17529B79D375}">
      <formula1>4</formula1>
      <formula2>4</formula2>
    </dataValidation>
    <dataValidation allowBlank="1" showInputMessage="1" showErrorMessage="1" promptTitle="Purchase amount" prompt="Must be * to calculate automatically or explicitly indicated, as long as the document balances" sqref="AU3:AU41" xr:uid="{8DE025F6-8AA5-4B4A-88D5-D76650ACA8D2}"/>
    <dataValidation type="textLength" allowBlank="1" showInputMessage="1" showErrorMessage="1" promptTitle="Indicate payment method (forced)" prompt="If payment method must be automatically retrieved from vendor, do not populate. If indicated, it will be forced to this way of payment" sqref="Q3:Q41" xr:uid="{055E4315-F9C2-4E7A-A481-38EAC3626925}">
      <formula1>0</formula1>
      <formula2>1</formula2>
    </dataValidation>
    <dataValidation type="textLength" allowBlank="1" showInputMessage="1" showErrorMessage="1" errorTitle="Currency must have 3 characters" promptTitle="Indicate document currency" sqref="H3:H41" xr:uid="{198A7500-F70C-4E0B-8F09-8A0E30CCC68C}">
      <formula1>3</formula1>
      <formula2>3</formula2>
    </dataValidation>
    <dataValidation type="textLength" allowBlank="1" showInputMessage="1" showErrorMessage="1" sqref="C3:C41" xr:uid="{710845EA-2E7C-4A3D-A471-AAC4CD25B6C3}">
      <formula1>8</formula1>
      <formula2>9</formula2>
    </dataValidation>
    <dataValidation type="textLength" allowBlank="1" showInputMessage="1" showErrorMessage="1" promptTitle="Assignment field" prompt="Mandatory for India LBT." sqref="AA3:AA41" xr:uid="{B7F763BD-5379-4E3E-96FE-FA2B8211A5F6}">
      <formula1>0</formula1>
      <formula2>18</formula2>
    </dataValidation>
    <dataValidation type="textLength" allowBlank="1" showInputMessage="1" showErrorMessage="1" errorTitle="Maximum 30 characters" promptTitle="For countries that use pm O-U-Y" prompt="it is sometimes called &quot;kid number&quot;" sqref="R3:R41" xr:uid="{7CA9DE5F-5B79-48B0-BD68-B543F9044E55}">
      <formula1>0</formula1>
      <formula2>30</formula2>
    </dataValidation>
    <dataValidation type="list" allowBlank="1" showInputMessage="1" showErrorMessage="1" sqref="N4:N41" xr:uid="{E7473044-EEB9-4E38-87FF-EBAA4D5643AC}">
      <formula1>#REF!</formula1>
    </dataValidation>
    <dataValidation type="textLength" allowBlank="1" showInputMessage="1" showErrorMessage="1" errorTitle="Invalid invocie reference number" error="Invoice reference number must be unique and between 4 and 16 characters" promptTitle="Enter invoice reference number" prompt="Input invoice reference number. It must be different than other records in the system for same vendor and invoice date" sqref="F3:F41" xr:uid="{D1647CA3-C206-4C57-AA5E-62E05895549E}">
      <formula1>4</formula1>
      <formula2>16</formula2>
    </dataValidation>
  </dataValidation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57dbe05-ce7b-4452-825d-26c90079690d">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1FA681403A8344898CF08C8B47E68E0" ma:contentTypeVersion="16" ma:contentTypeDescription="Create a new document." ma:contentTypeScope="" ma:versionID="5bca8f6c9ca07a6772adde02a65b0553">
  <xsd:schema xmlns:xsd="http://www.w3.org/2001/XMLSchema" xmlns:xs="http://www.w3.org/2001/XMLSchema" xmlns:p="http://schemas.microsoft.com/office/2006/metadata/properties" xmlns:ns2="757dbe05-ce7b-4452-825d-26c90079690d" xmlns:ns3="78c86c5f-eb0b-4f28-93ee-47eb01c096b2" targetNamespace="http://schemas.microsoft.com/office/2006/metadata/properties" ma:root="true" ma:fieldsID="c3a9819fda83a8f086a5bbc213563a01" ns2:_="" ns3:_="">
    <xsd:import namespace="757dbe05-ce7b-4452-825d-26c90079690d"/>
    <xsd:import namespace="78c86c5f-eb0b-4f28-93ee-47eb01c096b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lcf76f155ced4ddcb4097134ff3c332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57dbe05-ce7b-4452-825d-26c90079690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8c86c5f-eb0b-4f28-93ee-47eb01c096b2"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107BC0-1ACC-465D-BB6B-2024473DD779}">
  <ds:schemaRefs>
    <ds:schemaRef ds:uri="http://schemas.microsoft.com/office/2006/metadata/properties"/>
    <ds:schemaRef ds:uri="http://schemas.microsoft.com/office/infopath/2007/PartnerControls"/>
    <ds:schemaRef ds:uri="757dbe05-ce7b-4452-825d-26c90079690d"/>
  </ds:schemaRefs>
</ds:datastoreItem>
</file>

<file path=customXml/itemProps2.xml><?xml version="1.0" encoding="utf-8"?>
<ds:datastoreItem xmlns:ds="http://schemas.openxmlformats.org/officeDocument/2006/customXml" ds:itemID="{1CF418E5-81BE-4173-9657-4EA7914AAC48}">
  <ds:schemaRefs>
    <ds:schemaRef ds:uri="http://schemas.microsoft.com/sharepoint/v3/contenttype/forms"/>
  </ds:schemaRefs>
</ds:datastoreItem>
</file>

<file path=customXml/itemProps3.xml><?xml version="1.0" encoding="utf-8"?>
<ds:datastoreItem xmlns:ds="http://schemas.openxmlformats.org/officeDocument/2006/customXml" ds:itemID="{7CDBD983-20EF-4FDF-A73E-3D019F6842F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57dbe05-ce7b-4452-825d-26c90079690d"/>
    <ds:schemaRef ds:uri="78c86c5f-eb0b-4f28-93ee-47eb01c096b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TestData</vt:lpstr>
      <vt:lpstr>Script</vt:lpstr>
      <vt:lpstr>get data</vt:lpstr>
      <vt:lpstr>get data2</vt:lpstr>
      <vt:lpstr>backup</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Agaton, Randolp</dc:creator>
  <cp:keywords/>
  <dc:description/>
  <cp:lastModifiedBy>Agaton, Randolp</cp:lastModifiedBy>
  <cp:revision/>
  <dcterms:created xsi:type="dcterms:W3CDTF">2022-07-28T08:20:42Z</dcterms:created>
  <dcterms:modified xsi:type="dcterms:W3CDTF">2025-03-25T05:09:44Z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0x010100A1FA681403A8344898CF08C8B47E68E0</vt:lpwstr>
  </property>
</Properties>
</file>