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andolp.agaton\Desktop\macro\"/>
    </mc:Choice>
  </mc:AlternateContent>
  <xr:revisionPtr revIDLastSave="0" documentId="13_ncr:1_{3DD4894D-203C-497F-A505-012104FC193F}" xr6:coauthVersionLast="47" xr6:coauthVersionMax="47" xr10:uidLastSave="{00000000-0000-0000-0000-000000000000}"/>
  <bookViews>
    <workbookView xWindow="-120" yWindow="-120" windowWidth="29040" windowHeight="15720" activeTab="3" xr2:uid="{360CCF52-4108-4E16-971E-3BC62F8DB2D7}"/>
  </bookViews>
  <sheets>
    <sheet name="Template" sheetId="5" r:id="rId1"/>
    <sheet name="get data" sheetId="3" state="hidden" r:id="rId2"/>
    <sheet name="ZBB2" sheetId="14" r:id="rId3"/>
    <sheet name="Script" sheetId="1" r:id="rId4"/>
  </sheets>
  <functionGroups builtInGroupCount="19"/>
  <externalReferences>
    <externalReference r:id="rId5"/>
    <externalReference r:id="rId6"/>
    <externalReference r:id="rId7"/>
    <externalReference r:id="rId8"/>
    <externalReference r:id="rId9"/>
    <externalReference r:id="rId10"/>
  </externalReferences>
  <definedNames>
    <definedName name="_16.11.2015">[1]TS6!#REF!</definedName>
    <definedName name="_C500000">#REF!</definedName>
    <definedName name="_xlnm._FilterDatabase" localSheetId="0" hidden="1">Template!$A$3:$CJ$3</definedName>
    <definedName name="A">#REF!</definedName>
    <definedName name="accnt">#REF!</definedName>
    <definedName name="ACN_SupplierLocation_Query">#REF!</definedName>
    <definedName name="bktxt">#REF!</definedName>
    <definedName name="bldat">#REF!</definedName>
    <definedName name="budat">#REF!</definedName>
    <definedName name="burks">#REF!</definedName>
    <definedName name="Countries">[2]REFERENCE!$M$3:$M$250</definedName>
    <definedName name="dates">#REF!</definedName>
    <definedName name="Groups_1">[3]APPENDIX!$B$7:$B$10</definedName>
    <definedName name="Material_G1">[4]REFERENCE!$I$3:$I$129</definedName>
    <definedName name="mwskz">#REF!</definedName>
    <definedName name="Outlier">OFFSET([5]Reference!$B$3,0,0,COUNTA([5]Reference!$B$3:$B$100),1)</definedName>
    <definedName name="Requisitions">#REF!</definedName>
    <definedName name="resource">[6]xlat!$A$1:$A$4</definedName>
    <definedName name="rSLA1">[5]WR!$L$7</definedName>
    <definedName name="rSLA2">[5]WR!$L$8</definedName>
    <definedName name="rSLA3">[5]WR!$L$9</definedName>
    <definedName name="rSLA4">[5]WR!$L$10</definedName>
    <definedName name="rSLA5">[5]WR!$L$11</definedName>
    <definedName name="s">#REF!</definedName>
    <definedName name="Severity">OFFSET([5]Reference!$C$3,0,0,COUNTA([5]Reference!$C$3:$C$100),1)</definedName>
    <definedName name="sfsdg">#REF!</definedName>
    <definedName name="sgtxt">#REF!</definedName>
    <definedName name="SIRS_N_2">#REF!</definedName>
    <definedName name="Stage">OFFSET([5]Reference!$F$3,0,0,COUNTA([5]Reference!$F$3:$F$100),1)</definedName>
    <definedName name="t">#REF!</definedName>
    <definedName name="Task">[5]Reference!$F$2</definedName>
    <definedName name="wmwst">#REF!</definedName>
    <definedName name="wpWE">[5]Workplan!$B$3</definedName>
    <definedName name="wrbtr">#REF!</definedName>
    <definedName name="WRC">OFFSET([5]Reference!$D$3,0,0,COUNTA([5]Reference!$D$3:$D$100),1)</definedName>
    <definedName name="wrWE">[5]WR!$B$3</definedName>
    <definedName name="xblnr">#REF!</definedName>
    <definedName name="xlogs">#REF!</definedName>
    <definedName name="yesno">[2]Instruction!$H$1:$H$2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8" i="3" l="1"/>
  <c r="D39" i="3"/>
  <c r="D40" i="3"/>
  <c r="D41" i="3"/>
  <c r="D42" i="3"/>
  <c r="D43" i="3"/>
  <c r="D44" i="3"/>
  <c r="D45" i="3"/>
  <c r="D46" i="3"/>
  <c r="D47" i="3"/>
  <c r="D48" i="3"/>
  <c r="D49" i="3"/>
  <c r="D50" i="3"/>
  <c r="D51" i="3"/>
  <c r="C38" i="3"/>
  <c r="C39" i="3"/>
  <c r="C40" i="3"/>
  <c r="C41" i="3"/>
  <c r="C42" i="3"/>
  <c r="C43" i="3"/>
  <c r="C44" i="3"/>
  <c r="C45" i="3"/>
  <c r="C46" i="3"/>
  <c r="C47" i="3"/>
  <c r="C48" i="3"/>
  <c r="C49" i="3"/>
  <c r="C50" i="3"/>
  <c r="C51" i="3"/>
  <c r="C3" i="3"/>
  <c r="D3" i="3"/>
  <c r="C4" i="3"/>
  <c r="C5" i="3"/>
  <c r="C6" i="3"/>
  <c r="C7" i="3"/>
  <c r="C8" i="3"/>
  <c r="D8" i="3"/>
  <c r="C9" i="3"/>
  <c r="C10" i="3"/>
  <c r="C11" i="3"/>
  <c r="D11" i="3"/>
  <c r="C12" i="3"/>
  <c r="D12" i="3"/>
  <c r="C13" i="3"/>
  <c r="C14" i="3"/>
  <c r="C15" i="3"/>
  <c r="C16" i="3"/>
  <c r="D16" i="3"/>
  <c r="C17" i="3"/>
  <c r="C18" i="3"/>
  <c r="C19" i="3"/>
  <c r="C20" i="3"/>
  <c r="C21" i="3"/>
  <c r="C22" i="3"/>
  <c r="D22" i="3"/>
  <c r="C23" i="3"/>
  <c r="D23" i="3"/>
  <c r="C24" i="3"/>
  <c r="D24" i="3"/>
  <c r="C25" i="3"/>
  <c r="C26" i="3"/>
  <c r="C27" i="3"/>
  <c r="C28" i="3"/>
  <c r="C29" i="3"/>
  <c r="C30" i="3"/>
  <c r="C31" i="3"/>
  <c r="D31" i="3"/>
  <c r="C32" i="3"/>
  <c r="D32" i="3"/>
  <c r="C33" i="3"/>
  <c r="C34" i="3"/>
  <c r="C35" i="3"/>
  <c r="C36" i="3"/>
  <c r="C37" i="3"/>
  <c r="C2" i="3"/>
  <c r="C1" i="3"/>
  <c r="D1" i="3"/>
  <c r="D20" i="3"/>
  <c r="D35" i="3"/>
  <c r="D27" i="3"/>
  <c r="D19" i="3"/>
  <c r="D34" i="3"/>
  <c r="D26" i="3"/>
  <c r="D18" i="3"/>
  <c r="D10" i="3"/>
  <c r="D9" i="3"/>
  <c r="D36" i="3"/>
  <c r="D7" i="3"/>
  <c r="D25" i="3"/>
  <c r="D14" i="3"/>
  <c r="D6" i="3"/>
  <c r="D28" i="3"/>
  <c r="D33" i="3"/>
  <c r="D17" i="3"/>
  <c r="D15" i="3"/>
  <c r="D2" i="3"/>
  <c r="D30" i="3"/>
  <c r="D37" i="3"/>
  <c r="D29" i="3"/>
  <c r="D21" i="3"/>
  <c r="D13" i="3"/>
  <c r="D5" i="3"/>
  <c r="D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Pablo Carro</author>
  </authors>
  <commentList>
    <comment ref="C2" authorId="0" shapeId="0" xr:uid="{C265651E-7D83-482B-9EFD-44E66FE83DA6}">
      <text>
        <r>
          <rPr>
            <b/>
            <sz val="9"/>
            <color indexed="81"/>
            <rFont val="Tahoma"/>
            <family val="2"/>
          </rPr>
          <t>Juan Pablo Carro:</t>
        </r>
        <r>
          <rPr>
            <sz val="9"/>
            <color indexed="81"/>
            <rFont val="Tahoma"/>
            <family val="2"/>
          </rPr>
          <t xml:space="preserve">
Indicate a valid vendor for the company code. Must be unblocked for posting and not flagged for deletion</t>
        </r>
      </text>
    </comment>
    <comment ref="E2" authorId="0" shapeId="0" xr:uid="{820F7DEE-B0DE-42DC-9D15-867683429AB9}">
      <text>
        <r>
          <rPr>
            <b/>
            <sz val="9"/>
            <color indexed="81"/>
            <rFont val="Tahoma"/>
            <family val="2"/>
          </rPr>
          <t>Juan Pablo Carro:</t>
        </r>
        <r>
          <rPr>
            <sz val="9"/>
            <color indexed="81"/>
            <rFont val="Tahoma"/>
            <family val="2"/>
          </rPr>
          <t xml:space="preserve">
Pay attention to posting period opened in the environment</t>
        </r>
      </text>
    </comment>
    <comment ref="H2" authorId="0" shapeId="0" xr:uid="{8F3FDA19-5F93-44DB-9FDB-7F0D10A61587}">
      <text>
        <r>
          <rPr>
            <b/>
            <sz val="9"/>
            <color indexed="81"/>
            <rFont val="Tahoma"/>
            <family val="2"/>
          </rPr>
          <t>Juan Pablo Carro:</t>
        </r>
        <r>
          <rPr>
            <sz val="9"/>
            <color indexed="81"/>
            <rFont val="Tahoma"/>
            <family val="2"/>
          </rPr>
          <t xml:space="preserve">
Indicate document currency</t>
        </r>
      </text>
    </comment>
    <comment ref="P2" authorId="0" shapeId="0" xr:uid="{73EBD5C1-291A-41AB-A4B8-0E50DCD3A938}">
      <text>
        <r>
          <rPr>
            <b/>
            <sz val="9"/>
            <color indexed="81"/>
            <rFont val="Tahoma"/>
            <family val="2"/>
          </rPr>
          <t>Juan Pablo Carro:</t>
        </r>
        <r>
          <rPr>
            <sz val="9"/>
            <color indexed="81"/>
            <rFont val="Tahoma"/>
            <family val="2"/>
          </rPr>
          <t xml:space="preserve">
Automatically retrieved from invoice date. Not necessary to populate</t>
        </r>
      </text>
    </comment>
    <comment ref="AB2" authorId="0" shapeId="0" xr:uid="{3ADAC917-A31E-494C-A53C-02C2BC77E252}">
      <text>
        <r>
          <rPr>
            <b/>
            <sz val="9"/>
            <color indexed="81"/>
            <rFont val="Tahoma"/>
            <family val="2"/>
          </rPr>
          <t>Juan Pablo Carro:</t>
        </r>
        <r>
          <rPr>
            <sz val="9"/>
            <color indexed="81"/>
            <rFont val="Tahoma"/>
            <family val="2"/>
          </rPr>
          <t xml:space="preserve">
name of the requested</t>
        </r>
      </text>
    </comment>
    <comment ref="AY2" authorId="0" shapeId="0" xr:uid="{C5E29ACB-136B-4B68-A986-F5863487725C}">
      <text>
        <r>
          <rPr>
            <b/>
            <sz val="9"/>
            <color indexed="81"/>
            <rFont val="Tahoma"/>
            <family val="2"/>
          </rPr>
          <t>Juan Pablo Carro:</t>
        </r>
        <r>
          <rPr>
            <sz val="9"/>
            <color indexed="81"/>
            <rFont val="Tahoma"/>
            <family val="2"/>
          </rPr>
          <t xml:space="preserve">
For Brazil / Canada / US</t>
        </r>
      </text>
    </comment>
  </commentList>
</comments>
</file>

<file path=xl/sharedStrings.xml><?xml version="1.0" encoding="utf-8"?>
<sst xmlns="http://schemas.openxmlformats.org/spreadsheetml/2006/main" count="535" uniqueCount="223">
  <si>
    <t>TCODE</t>
  </si>
  <si>
    <t>MAIN TAB</t>
  </si>
  <si>
    <t>Payment tab</t>
  </si>
  <si>
    <t>Additional details tab</t>
  </si>
  <si>
    <t>-------</t>
  </si>
  <si>
    <t>Line detail area</t>
  </si>
  <si>
    <t>Additional Data</t>
  </si>
  <si>
    <t>OTVA DETAILS</t>
  </si>
  <si>
    <t>Tax Tab</t>
  </si>
  <si>
    <t>Valid data</t>
  </si>
  <si>
    <t>FB60</t>
  </si>
  <si>
    <t>FV60</t>
  </si>
  <si>
    <t>DO NOT DELETE!</t>
  </si>
  <si>
    <t>Transaction</t>
  </si>
  <si>
    <t>Cocd</t>
  </si>
  <si>
    <t>Vendor</t>
  </si>
  <si>
    <t>inv. Date</t>
  </si>
  <si>
    <t>post. Date</t>
  </si>
  <si>
    <t>Inv. Reference</t>
  </si>
  <si>
    <t>Tax code</t>
  </si>
  <si>
    <t>Currency</t>
  </si>
  <si>
    <t>Total Amnt</t>
  </si>
  <si>
    <t>tax amount</t>
  </si>
  <si>
    <t>Business place</t>
  </si>
  <si>
    <t>Text</t>
  </si>
  <si>
    <t>Doc Type</t>
  </si>
  <si>
    <t>Transaction Type</t>
  </si>
  <si>
    <t>placeholder</t>
  </si>
  <si>
    <t>baseline Dt</t>
  </si>
  <si>
    <t>pmt method</t>
  </si>
  <si>
    <t>Payment reference</t>
  </si>
  <si>
    <t>Assign.</t>
  </si>
  <si>
    <t>Header Text</t>
  </si>
  <si>
    <t>Ref key1</t>
  </si>
  <si>
    <t>Ref key2</t>
  </si>
  <si>
    <t>Ref Key 3</t>
  </si>
  <si>
    <t>Received date</t>
  </si>
  <si>
    <t>Line Item number</t>
  </si>
  <si>
    <t>Purchase G/L</t>
  </si>
  <si>
    <t>Purchase Amount</t>
  </si>
  <si>
    <t>Cost Object Type</t>
  </si>
  <si>
    <t>Cost Object</t>
  </si>
  <si>
    <t>Cost Collector</t>
  </si>
  <si>
    <t>jurisdiction code</t>
  </si>
  <si>
    <t>CrossCo</t>
  </si>
  <si>
    <t>Tax Code</t>
  </si>
  <si>
    <t>CAM Task/Activity</t>
  </si>
  <si>
    <t>HSN/SAC</t>
  </si>
  <si>
    <t>Profit Center</t>
  </si>
  <si>
    <t>Test Type</t>
  </si>
  <si>
    <t>VendorName</t>
  </si>
  <si>
    <t>VendorStreet</t>
  </si>
  <si>
    <t>City</t>
  </si>
  <si>
    <t>PostalCode</t>
  </si>
  <si>
    <t>Region</t>
  </si>
  <si>
    <t>BankKey</t>
  </si>
  <si>
    <t>BankAccount</t>
  </si>
  <si>
    <t>TaxNumber1 - FB60</t>
  </si>
  <si>
    <t>TaxNumber2 - FB65</t>
  </si>
  <si>
    <t>TaxNumber3</t>
  </si>
  <si>
    <t>TaxNumber4</t>
  </si>
  <si>
    <t>TaxNumber5</t>
  </si>
  <si>
    <t>Control Key</t>
  </si>
  <si>
    <t>Bank Country</t>
  </si>
  <si>
    <t>Tax Reporting Date</t>
  </si>
  <si>
    <t>Cost Center</t>
  </si>
  <si>
    <t>WBS</t>
  </si>
  <si>
    <t>30.11.2022</t>
  </si>
  <si>
    <t>RANDOLP.Test1234</t>
  </si>
  <si>
    <t>X0</t>
  </si>
  <si>
    <t>INR</t>
  </si>
  <si>
    <t>1000</t>
  </si>
  <si>
    <t>IN01</t>
  </si>
  <si>
    <t>Invoice</t>
  </si>
  <si>
    <t>I</t>
  </si>
  <si>
    <t>M-780701</t>
  </si>
  <si>
    <t>TestUser.R0.US</t>
  </si>
  <si>
    <t>5299999999</t>
  </si>
  <si>
    <t>NL#_Test</t>
  </si>
  <si>
    <t>BPO Voice Lateral</t>
  </si>
  <si>
    <t>1</t>
  </si>
  <si>
    <t>640000</t>
  </si>
  <si>
    <t>AHO8U00Q</t>
  </si>
  <si>
    <t>4902</t>
  </si>
  <si>
    <t>910000</t>
  </si>
  <si>
    <t>Negative</t>
  </si>
  <si>
    <t>23.2C1RTP OTVA-3003 GB United Kingdom</t>
  </si>
  <si>
    <t>STATION ROAD</t>
  </si>
  <si>
    <t>HANDFORTH</t>
  </si>
  <si>
    <t>SK9 3AA</t>
  </si>
  <si>
    <t>AM</t>
  </si>
  <si>
    <t>404025</t>
  </si>
  <si>
    <t>81419979</t>
  </si>
  <si>
    <t/>
  </si>
  <si>
    <t>GB</t>
  </si>
  <si>
    <t>Tcode</t>
  </si>
  <si>
    <t>CompCode</t>
  </si>
  <si>
    <t>VendorID</t>
  </si>
  <si>
    <t>InvoiceDate</t>
  </si>
  <si>
    <t>PostingDate</t>
  </si>
  <si>
    <t>InvoiceReference</t>
  </si>
  <si>
    <t>TaxCode</t>
  </si>
  <si>
    <t>Currcy</t>
  </si>
  <si>
    <t>InvoiceAmount</t>
  </si>
  <si>
    <t>TaxAmount</t>
  </si>
  <si>
    <t>BusinessPlace</t>
  </si>
  <si>
    <t>ItemText</t>
  </si>
  <si>
    <t>DocType</t>
  </si>
  <si>
    <t>ISR</t>
  </si>
  <si>
    <t>PmtBaselineDate</t>
  </si>
  <si>
    <t>PmtMethod</t>
  </si>
  <si>
    <t>PaymentReference</t>
  </si>
  <si>
    <t>Assignment</t>
  </si>
  <si>
    <t>HeaderText</t>
  </si>
  <si>
    <t>RefKey_1</t>
  </si>
  <si>
    <t>RefKey_2</t>
  </si>
  <si>
    <t>RefKey_3</t>
  </si>
  <si>
    <t>ReceivedDate</t>
  </si>
  <si>
    <t>LineItemNumber</t>
  </si>
  <si>
    <t>GLAccount</t>
  </si>
  <si>
    <t>ItemAmount</t>
  </si>
  <si>
    <t>CostObjectType</t>
  </si>
  <si>
    <t>CostObject</t>
  </si>
  <si>
    <t>CostCollector</t>
  </si>
  <si>
    <t>JurisdictionCode</t>
  </si>
  <si>
    <t>CrossCC</t>
  </si>
  <si>
    <t>CostObjectNumber</t>
  </si>
  <si>
    <t>CostObject2</t>
  </si>
  <si>
    <t>CostObject3</t>
  </si>
  <si>
    <t>HSN</t>
  </si>
  <si>
    <t>ProfitCenter</t>
  </si>
  <si>
    <t>TestType</t>
  </si>
  <si>
    <t>TaxNumber1</t>
  </si>
  <si>
    <t>TaxNumber2</t>
  </si>
  <si>
    <t>ControlKey</t>
  </si>
  <si>
    <t>BankCountry</t>
  </si>
  <si>
    <t>ZBB2</t>
  </si>
  <si>
    <t>Image</t>
  </si>
  <si>
    <t>CC</t>
  </si>
  <si>
    <t>Doc Num</t>
  </si>
  <si>
    <t>FY</t>
  </si>
  <si>
    <t>SAP Automated Screenshots</t>
  </si>
  <si>
    <t>This GUI script creates NON-PO Invoice/ Credit Memo in tcode FB60/ FV60 and goes through a predefined screen sequence and take screenshot of those screens.
Results are saved in a Word document for each NON-PO Invoice/ Credit Memo including their screenshots. Additional features include:
*multiple line items with multiple cost objects (WBS, Cost Center). Please be noted that cost objects should be separated by a comma.</t>
  </si>
  <si>
    <t>Status</t>
  </si>
  <si>
    <t>1  Processing</t>
  </si>
  <si>
    <t>2  Completed</t>
  </si>
  <si>
    <t xml:space="preserve">Click Create Invoice/ Start Indexing to start the automation. </t>
  </si>
  <si>
    <t>3  Error</t>
  </si>
  <si>
    <t>HnM Status:</t>
  </si>
  <si>
    <t>Invoice Reference</t>
  </si>
  <si>
    <t>Message</t>
  </si>
  <si>
    <t>Document No.</t>
  </si>
  <si>
    <t>Controlling Doc</t>
  </si>
  <si>
    <t>Child Doc</t>
  </si>
  <si>
    <t>ZBB2 Reference</t>
  </si>
  <si>
    <t>ZBB2 Status</t>
  </si>
  <si>
    <t>Successfully Indexed Image</t>
  </si>
  <si>
    <t>4999999454</t>
  </si>
  <si>
    <t>HnM Enabled</t>
  </si>
  <si>
    <t>blank, line item 1,line item 2</t>
  </si>
  <si>
    <t>1000/2000/3000</t>
  </si>
  <si>
    <t>8002/8120</t>
  </si>
  <si>
    <t>IN49</t>
  </si>
  <si>
    <t>ScreenShot Disabled</t>
  </si>
  <si>
    <t>RTP</t>
  </si>
  <si>
    <t>Line Item 1</t>
  </si>
  <si>
    <t>EUR</t>
  </si>
  <si>
    <t>829,65</t>
  </si>
  <si>
    <t>612000</t>
  </si>
  <si>
    <t>PHP</t>
  </si>
  <si>
    <t>44.680,5</t>
  </si>
  <si>
    <t>BSN72001</t>
  </si>
  <si>
    <t>TestUser.AL.PH</t>
  </si>
  <si>
    <t>68.195,25</t>
  </si>
  <si>
    <t>AXWW3003</t>
  </si>
  <si>
    <t>TestUser.AL.IN</t>
  </si>
  <si>
    <t>TestUser.AL.NZ</t>
  </si>
  <si>
    <t>Completed</t>
  </si>
  <si>
    <t>0</t>
  </si>
  <si>
    <t>KR</t>
  </si>
  <si>
    <t>07.11.2024</t>
  </si>
  <si>
    <t>BIWEK004</t>
  </si>
  <si>
    <t>Document successfully parked</t>
  </si>
  <si>
    <t>samp0001</t>
  </si>
  <si>
    <t>samp0002</t>
  </si>
  <si>
    <t>samp0003</t>
  </si>
  <si>
    <t>samp0004</t>
  </si>
  <si>
    <t>samp0005</t>
  </si>
  <si>
    <t>samp0006</t>
  </si>
  <si>
    <t>No Error</t>
  </si>
  <si>
    <t>05.12.2024</t>
  </si>
  <si>
    <t>TestUser.R0.IN</t>
  </si>
  <si>
    <t>TEST.IN.07</t>
  </si>
  <si>
    <t>TEST.IN.08</t>
  </si>
  <si>
    <t>TEST.IN.09</t>
  </si>
  <si>
    <t>1/1</t>
  </si>
  <si>
    <t>05.10.2024</t>
  </si>
  <si>
    <t>7500</t>
  </si>
  <si>
    <t>06.12.2024</t>
  </si>
  <si>
    <t>TEST.ID.01</t>
  </si>
  <si>
    <t>TEST.MY.01</t>
  </si>
  <si>
    <t>TEST.MY.02</t>
  </si>
  <si>
    <t>TEST.TH.01</t>
  </si>
  <si>
    <t>TEST.TH.02</t>
  </si>
  <si>
    <t>IDR</t>
  </si>
  <si>
    <t>MYR</t>
  </si>
  <si>
    <t>THB</t>
  </si>
  <si>
    <t>134090000</t>
  </si>
  <si>
    <t>4300</t>
  </si>
  <si>
    <t>43000</t>
  </si>
  <si>
    <t>33000</t>
  </si>
  <si>
    <t>339000</t>
  </si>
  <si>
    <t>TestUser.R0.ID</t>
  </si>
  <si>
    <t>TestUser.R0.MY</t>
  </si>
  <si>
    <t>TestUser.R1K.MY</t>
  </si>
  <si>
    <t>TestUser.R1K.TH</t>
  </si>
  <si>
    <t>TestUser.R10K.TH</t>
  </si>
  <si>
    <t>BJNUP008</t>
  </si>
  <si>
    <t>BKCTO001</t>
  </si>
  <si>
    <t>100077263</t>
  </si>
  <si>
    <t>BLQGQ00C</t>
  </si>
  <si>
    <t>TEST.IN.12</t>
  </si>
  <si>
    <t>RA4900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</si>
</sst>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11"/>
      <color theme="0"/>
      <name val="Calibri"/>
      <family val="2"/>
      <scheme val="minor"/>
    </font>
    <font>
      <sz val="10"/>
      <name val="Arial"/>
      <family val="2"/>
    </font>
    <font>
      <sz val="10"/>
      <name val="Arial"/>
      <family val="2"/>
    </font>
    <font>
      <b/>
      <i/>
      <sz val="11"/>
      <color theme="0"/>
      <name val="Arial"/>
      <family val="2"/>
    </font>
    <font>
      <sz val="10"/>
      <color theme="0"/>
      <name val="Arial"/>
      <family val="2"/>
    </font>
    <font>
      <b/>
      <sz val="12"/>
      <color theme="0"/>
      <name val="Arial"/>
      <family val="2"/>
    </font>
    <font>
      <b/>
      <sz val="9"/>
      <color theme="0"/>
      <name val="Calibri"/>
      <family val="2"/>
      <scheme val="minor"/>
    </font>
    <font>
      <b/>
      <sz val="10"/>
      <color theme="0"/>
      <name val="Arial"/>
      <family val="2"/>
    </font>
    <font>
      <sz val="11"/>
      <name val="Calibri"/>
      <family val="2"/>
      <scheme val="minor"/>
    </font>
    <font>
      <sz val="8"/>
      <name val="Calibri"/>
      <family val="2"/>
      <scheme val="minor"/>
    </font>
    <font>
      <b/>
      <sz val="11"/>
      <color theme="1"/>
      <name val="Calibri"/>
      <family val="2"/>
      <scheme val="minor"/>
    </font>
    <font>
      <b/>
      <sz val="10"/>
      <color rgb="FFC4690E"/>
      <name val="Arial Unicode MS"/>
    </font>
    <font>
      <sz val="8"/>
      <color theme="1"/>
      <name val="Arial"/>
      <family val="2"/>
    </font>
    <font>
      <sz val="12"/>
      <color theme="1"/>
      <name val="Calibri"/>
      <family val="2"/>
      <scheme val="minor"/>
    </font>
    <font>
      <i/>
      <sz val="11"/>
      <color theme="1"/>
      <name val="Calibri"/>
      <family val="2"/>
      <scheme val="minor"/>
    </font>
    <font>
      <b/>
      <i/>
      <sz val="11"/>
      <color theme="1"/>
      <name val="Calibri"/>
      <family val="2"/>
      <scheme val="minor"/>
    </font>
    <font>
      <i/>
      <sz val="11"/>
      <name val="Calibri"/>
      <family val="2"/>
      <scheme val="minor"/>
    </font>
    <font>
      <b/>
      <i/>
      <sz val="11"/>
      <color rgb="FFFF0000"/>
      <name val="Calibri"/>
      <family val="2"/>
      <scheme val="minor"/>
    </font>
    <font>
      <b/>
      <i/>
      <sz val="11"/>
      <name val="Calibri"/>
      <family val="2"/>
      <scheme val="minor"/>
    </font>
    <font>
      <b/>
      <sz val="12"/>
      <color theme="1"/>
      <name val="Calibri"/>
      <family val="2"/>
      <scheme val="minor"/>
    </font>
    <font>
      <sz val="12"/>
      <name val="Calibri"/>
      <family val="2"/>
      <scheme val="minor"/>
    </font>
    <font>
      <b/>
      <sz val="12"/>
      <color rgb="FF0000CC"/>
      <name val="Calibri"/>
      <family val="2"/>
      <scheme val="minor"/>
    </font>
    <font>
      <b/>
      <sz val="9"/>
      <color indexed="81"/>
      <name val="Tahoma"/>
      <family val="2"/>
    </font>
    <font>
      <sz val="9"/>
      <color indexed="81"/>
      <name val="Tahoma"/>
      <family val="2"/>
    </font>
    <font>
      <b/>
      <sz val="12"/>
      <color theme="0" tint="-4.9989318521683403E-2"/>
      <name val="Arial"/>
      <family val="2"/>
    </font>
    <font>
      <sz val="11"/>
      <color theme="1"/>
      <name val="Calibri"/>
      <family val="2"/>
      <scheme val="minor"/>
    </font>
    <font>
      <sz val="10"/>
      <color rgb="FF000000"/>
      <name val="Arial"/>
      <family val="2"/>
    </font>
    <font>
      <sz val="11"/>
      <color rgb="FF000000"/>
      <name val="Calibri"/>
      <family val="2"/>
    </font>
    <font>
      <sz val="9"/>
      <color theme="1"/>
      <name val="Calibri"/>
      <family val="2"/>
      <scheme val="minor"/>
    </font>
  </fonts>
  <fills count="9">
    <fill>
      <patternFill patternType="none"/>
    </fill>
    <fill>
      <patternFill patternType="gray125"/>
    </fill>
    <fill>
      <patternFill patternType="solid">
        <fgColor theme="8" tint="-0.49998474074526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0070C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rgb="FF0070C0"/>
      </top>
      <bottom/>
      <diagonal/>
    </border>
    <border>
      <left style="thin">
        <color indexed="64"/>
      </left>
      <right style="thin">
        <color indexed="64"/>
      </right>
      <top style="medium">
        <color rgb="FF0070C0"/>
      </top>
      <bottom/>
      <diagonal/>
    </border>
    <border>
      <left style="thin">
        <color indexed="64"/>
      </left>
      <right/>
      <top style="medium">
        <color rgb="FF0070C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indexed="64"/>
      </left>
      <right style="thick">
        <color rgb="FF0070C0"/>
      </right>
      <top style="medium">
        <color indexed="64"/>
      </top>
      <bottom style="medium">
        <color indexed="64"/>
      </bottom>
      <diagonal/>
    </border>
    <border>
      <left style="thick">
        <color rgb="FF0070C0"/>
      </left>
      <right style="thick">
        <color rgb="FF0070C0"/>
      </right>
      <top style="medium">
        <color indexed="64"/>
      </top>
      <bottom style="medium">
        <color indexed="64"/>
      </bottom>
      <diagonal/>
    </border>
    <border>
      <left style="thick">
        <color rgb="FF0070C0"/>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style="medium">
        <color theme="9" tint="-0.249977111117893"/>
      </left>
      <right style="thin">
        <color indexed="64"/>
      </right>
      <top/>
      <bottom/>
      <diagonal/>
    </border>
    <border>
      <left style="hair">
        <color indexed="64"/>
      </left>
      <right style="hair">
        <color indexed="64"/>
      </right>
      <top style="hair">
        <color indexed="64"/>
      </top>
      <bottom/>
      <diagonal/>
    </border>
    <border>
      <left/>
      <right style="medium">
        <color indexed="64"/>
      </right>
      <top/>
      <bottom style="medium">
        <color indexed="64"/>
      </bottom>
      <diagonal/>
    </border>
    <border>
      <left/>
      <right/>
      <top/>
      <bottom style="medium">
        <color indexed="64"/>
      </bottom>
      <diagonal/>
    </border>
    <border>
      <left style="hair">
        <color indexed="64"/>
      </left>
      <right style="hair">
        <color indexed="64"/>
      </right>
      <top style="hair">
        <color indexed="64"/>
      </top>
      <bottom style="hair">
        <color indexed="64"/>
      </bottom>
      <diagonal/>
    </border>
  </borders>
  <cellStyleXfs count="4">
    <xf numFmtId="0" fontId="0" fillId="0" borderId="0"/>
    <xf numFmtId="0" fontId="2" fillId="0" borderId="0"/>
    <xf numFmtId="0" fontId="13" fillId="0" borderId="0"/>
    <xf numFmtId="0" fontId="2" fillId="0" borderId="0"/>
  </cellStyleXfs>
  <cellXfs count="108">
    <xf numFmtId="0" fontId="0" fillId="0" borderId="0" xfId="0"/>
    <xf numFmtId="0" fontId="1" fillId="2" borderId="0" xfId="0" applyFont="1" applyFill="1"/>
    <xf numFmtId="0" fontId="7" fillId="2" borderId="0" xfId="0" applyFont="1" applyFill="1" applyAlignment="1">
      <alignment horizontal="left" vertical="center"/>
    </xf>
    <xf numFmtId="0" fontId="0" fillId="0" borderId="0" xfId="0" applyAlignment="1">
      <alignment horizontal="center"/>
    </xf>
    <xf numFmtId="0" fontId="3" fillId="3" borderId="0" xfId="0" applyFont="1" applyFill="1" applyAlignment="1">
      <alignment horizontal="center" vertical="center"/>
    </xf>
    <xf numFmtId="0" fontId="0" fillId="0" borderId="0" xfId="0" applyAlignment="1">
      <alignment horizontal="left"/>
    </xf>
    <xf numFmtId="0" fontId="12" fillId="0" borderId="0" xfId="0" applyFont="1"/>
    <xf numFmtId="49" fontId="11" fillId="4" borderId="2" xfId="2" applyNumberFormat="1" applyFont="1" applyFill="1" applyBorder="1" applyAlignment="1">
      <alignment horizontal="center" vertical="center"/>
    </xf>
    <xf numFmtId="49" fontId="11" fillId="4" borderId="0" xfId="2" applyNumberFormat="1" applyFont="1" applyFill="1" applyAlignment="1">
      <alignment horizontal="center"/>
    </xf>
    <xf numFmtId="49" fontId="11" fillId="3" borderId="7" xfId="2" applyNumberFormat="1" applyFont="1" applyFill="1" applyBorder="1" applyAlignment="1">
      <alignment horizontal="center"/>
    </xf>
    <xf numFmtId="49" fontId="11" fillId="0" borderId="0" xfId="2" applyNumberFormat="1" applyFont="1"/>
    <xf numFmtId="49" fontId="11" fillId="0" borderId="12" xfId="2" applyNumberFormat="1" applyFont="1" applyBorder="1"/>
    <xf numFmtId="49" fontId="11" fillId="0" borderId="13" xfId="2" applyNumberFormat="1" applyFont="1" applyBorder="1"/>
    <xf numFmtId="49" fontId="11" fillId="0" borderId="14" xfId="2" applyNumberFormat="1" applyFont="1" applyBorder="1"/>
    <xf numFmtId="49" fontId="14" fillId="0" borderId="0" xfId="2" applyNumberFormat="1" applyFont="1"/>
    <xf numFmtId="49" fontId="15" fillId="0" borderId="15" xfId="2" applyNumberFormat="1" applyFont="1" applyBorder="1" applyAlignment="1">
      <alignment horizontal="center" vertical="center"/>
    </xf>
    <xf numFmtId="49" fontId="16" fillId="0" borderId="16" xfId="2" applyNumberFormat="1" applyFont="1" applyBorder="1" applyAlignment="1">
      <alignment horizontal="center" vertical="center"/>
    </xf>
    <xf numFmtId="49" fontId="15" fillId="0" borderId="17" xfId="2" applyNumberFormat="1" applyFont="1" applyBorder="1" applyAlignment="1">
      <alignment horizontal="center" vertical="center"/>
    </xf>
    <xf numFmtId="49" fontId="15" fillId="0" borderId="16" xfId="2" applyNumberFormat="1" applyFont="1" applyBorder="1" applyAlignment="1">
      <alignment horizontal="center" vertical="center"/>
    </xf>
    <xf numFmtId="0" fontId="15" fillId="0" borderId="17" xfId="2" applyFont="1" applyBorder="1" applyAlignment="1">
      <alignment horizontal="center" vertical="center"/>
    </xf>
    <xf numFmtId="49" fontId="17" fillId="0" borderId="17" xfId="2" applyNumberFormat="1" applyFont="1" applyBorder="1" applyAlignment="1">
      <alignment horizontal="center" vertical="center"/>
    </xf>
    <xf numFmtId="49" fontId="15" fillId="0" borderId="18" xfId="2" applyNumberFormat="1" applyFont="1" applyBorder="1" applyAlignment="1">
      <alignment horizontal="center" vertical="center"/>
    </xf>
    <xf numFmtId="49" fontId="15" fillId="0" borderId="19" xfId="2" applyNumberFormat="1" applyFont="1" applyBorder="1" applyAlignment="1">
      <alignment horizontal="center" vertical="center"/>
    </xf>
    <xf numFmtId="49" fontId="15" fillId="0" borderId="20" xfId="2" applyNumberFormat="1" applyFont="1" applyBorder="1" applyAlignment="1">
      <alignment horizontal="center" vertical="center"/>
    </xf>
    <xf numFmtId="49" fontId="18" fillId="0" borderId="10" xfId="2" applyNumberFormat="1" applyFont="1" applyBorder="1" applyAlignment="1">
      <alignment horizontal="center" vertical="center"/>
    </xf>
    <xf numFmtId="49" fontId="19" fillId="0" borderId="10" xfId="2" applyNumberFormat="1" applyFont="1" applyBorder="1" applyAlignment="1">
      <alignment horizontal="center" vertical="center"/>
    </xf>
    <xf numFmtId="49" fontId="15" fillId="0" borderId="10" xfId="2" applyNumberFormat="1" applyFont="1" applyBorder="1" applyAlignment="1">
      <alignment horizontal="center" vertical="center"/>
    </xf>
    <xf numFmtId="49" fontId="15" fillId="0" borderId="21" xfId="2" applyNumberFormat="1" applyFont="1" applyBorder="1" applyAlignment="1">
      <alignment horizontal="center" vertical="center"/>
    </xf>
    <xf numFmtId="49" fontId="19" fillId="0" borderId="22" xfId="2" applyNumberFormat="1" applyFont="1" applyBorder="1" applyAlignment="1">
      <alignment horizontal="center" vertical="center"/>
    </xf>
    <xf numFmtId="49" fontId="15" fillId="0" borderId="23" xfId="2" applyNumberFormat="1" applyFont="1" applyBorder="1" applyAlignment="1">
      <alignment horizontal="center" vertical="center"/>
    </xf>
    <xf numFmtId="49" fontId="15" fillId="0" borderId="9" xfId="2" applyNumberFormat="1" applyFont="1" applyBorder="1" applyAlignment="1">
      <alignment horizontal="center" vertical="center"/>
    </xf>
    <xf numFmtId="49" fontId="15" fillId="5" borderId="11" xfId="2" applyNumberFormat="1" applyFont="1" applyFill="1" applyBorder="1" applyAlignment="1">
      <alignment horizontal="center" vertical="center"/>
    </xf>
    <xf numFmtId="49" fontId="13" fillId="0" borderId="0" xfId="2" applyNumberFormat="1" applyAlignment="1">
      <alignment horizontal="center" vertical="center"/>
    </xf>
    <xf numFmtId="49" fontId="13" fillId="0" borderId="24" xfId="2" applyNumberFormat="1" applyBorder="1" applyAlignment="1">
      <alignment horizontal="center" vertical="center"/>
    </xf>
    <xf numFmtId="49" fontId="11" fillId="0" borderId="25" xfId="2" applyNumberFormat="1" applyFont="1" applyBorder="1" applyAlignment="1">
      <alignment horizontal="center" vertical="center"/>
    </xf>
    <xf numFmtId="49" fontId="11" fillId="0" borderId="26" xfId="2" applyNumberFormat="1" applyFont="1" applyBorder="1" applyAlignment="1">
      <alignment horizontal="center" vertical="center"/>
    </xf>
    <xf numFmtId="49" fontId="20" fillId="0" borderId="0" xfId="2" applyNumberFormat="1" applyFont="1" applyAlignment="1">
      <alignment horizontal="center" vertical="center"/>
    </xf>
    <xf numFmtId="49" fontId="13" fillId="0" borderId="0" xfId="2" applyNumberFormat="1" applyAlignment="1">
      <alignment vertical="center"/>
    </xf>
    <xf numFmtId="49" fontId="14" fillId="0" borderId="0" xfId="2" applyNumberFormat="1" applyFont="1" applyAlignment="1">
      <alignment vertical="center"/>
    </xf>
    <xf numFmtId="49" fontId="14" fillId="0" borderId="0" xfId="2" applyNumberFormat="1" applyFont="1" applyAlignment="1">
      <alignment horizontal="center" vertical="center"/>
    </xf>
    <xf numFmtId="0" fontId="14" fillId="0" borderId="0" xfId="2" applyFont="1" applyAlignment="1">
      <alignment horizontal="center" vertical="center"/>
    </xf>
    <xf numFmtId="49" fontId="20" fillId="0" borderId="0" xfId="2" applyNumberFormat="1" applyFont="1"/>
    <xf numFmtId="0" fontId="14" fillId="0" borderId="0" xfId="2" applyFont="1"/>
    <xf numFmtId="49" fontId="21" fillId="0" borderId="0" xfId="2" applyNumberFormat="1" applyFont="1"/>
    <xf numFmtId="49" fontId="22" fillId="0" borderId="0" xfId="2" applyNumberFormat="1" applyFont="1" applyAlignment="1">
      <alignment horizontal="center"/>
    </xf>
    <xf numFmtId="0" fontId="1" fillId="2" borderId="0" xfId="0" applyFont="1" applyFill="1" applyAlignment="1">
      <alignment horizontal="center" vertical="center"/>
    </xf>
    <xf numFmtId="0" fontId="0" fillId="0" borderId="0" xfId="0" applyAlignment="1">
      <alignment horizontal="center" vertical="center"/>
    </xf>
    <xf numFmtId="0" fontId="5" fillId="2" borderId="0" xfId="0" applyFont="1" applyFill="1" applyAlignment="1">
      <alignment horizontal="center" vertical="center"/>
    </xf>
    <xf numFmtId="0" fontId="8" fillId="2" borderId="0" xfId="0" applyFont="1" applyFill="1" applyAlignment="1">
      <alignment horizontal="left" vertical="center"/>
    </xf>
    <xf numFmtId="49" fontId="6" fillId="2" borderId="28" xfId="0" applyNumberFormat="1" applyFont="1" applyFill="1" applyBorder="1" applyAlignment="1">
      <alignment horizontal="center" vertical="center"/>
    </xf>
    <xf numFmtId="0" fontId="2" fillId="3" borderId="0" xfId="0" applyFont="1" applyFill="1" applyAlignment="1">
      <alignment horizontal="center" vertical="center"/>
    </xf>
    <xf numFmtId="49" fontId="25" fillId="2" borderId="28" xfId="0" applyNumberFormat="1" applyFont="1" applyFill="1" applyBorder="1" applyAlignment="1">
      <alignment horizontal="center" vertical="center"/>
    </xf>
    <xf numFmtId="0" fontId="1" fillId="2" borderId="0" xfId="0" applyFont="1" applyFill="1" applyAlignment="1">
      <alignment vertical="center"/>
    </xf>
    <xf numFmtId="49" fontId="25" fillId="2" borderId="28" xfId="0" applyNumberFormat="1" applyFont="1" applyFill="1" applyBorder="1" applyAlignment="1">
      <alignment horizontal="center" vertical="center" wrapText="1"/>
    </xf>
    <xf numFmtId="0" fontId="1" fillId="2" borderId="0" xfId="0" applyFont="1" applyFill="1" applyAlignment="1">
      <alignment horizontal="left" vertical="center"/>
    </xf>
    <xf numFmtId="0" fontId="0" fillId="0" borderId="0" xfId="0" applyAlignment="1">
      <alignment horizontal="left" vertical="center"/>
    </xf>
    <xf numFmtId="0" fontId="5" fillId="2" borderId="0" xfId="0" applyFont="1" applyFill="1" applyAlignment="1">
      <alignment vertical="top" wrapText="1"/>
    </xf>
    <xf numFmtId="49" fontId="2" fillId="3" borderId="1" xfId="0" applyNumberFormat="1" applyFont="1" applyFill="1" applyBorder="1" applyAlignment="1">
      <alignment horizontal="center" vertical="center"/>
    </xf>
    <xf numFmtId="0" fontId="1" fillId="2" borderId="0" xfId="0" applyFont="1" applyFill="1" applyAlignment="1">
      <alignment horizontal="center"/>
    </xf>
    <xf numFmtId="0" fontId="5" fillId="2" borderId="0" xfId="0" applyFont="1" applyFill="1" applyAlignment="1">
      <alignment horizontal="center" vertical="top" wrapText="1"/>
    </xf>
    <xf numFmtId="49" fontId="13" fillId="4" borderId="27" xfId="2" applyNumberFormat="1" applyFill="1" applyBorder="1" applyAlignment="1">
      <alignment horizontal="center" vertical="center"/>
    </xf>
    <xf numFmtId="49" fontId="14" fillId="0" borderId="0" xfId="2" applyNumberFormat="1" applyFont="1" applyAlignment="1">
      <alignment horizontal="center"/>
    </xf>
    <xf numFmtId="49" fontId="13" fillId="4" borderId="0" xfId="2" applyNumberFormat="1" applyFill="1" applyAlignment="1">
      <alignment horizontal="center" vertical="center"/>
    </xf>
    <xf numFmtId="49" fontId="11" fillId="5" borderId="9" xfId="2" applyNumberFormat="1" applyFont="1" applyFill="1" applyBorder="1" applyAlignment="1">
      <alignment horizontal="center" vertical="center"/>
    </xf>
    <xf numFmtId="49" fontId="15" fillId="5" borderId="29" xfId="2" applyNumberFormat="1" applyFont="1" applyFill="1" applyBorder="1" applyAlignment="1">
      <alignment horizontal="center" vertical="center"/>
    </xf>
    <xf numFmtId="0" fontId="5" fillId="2" borderId="0" xfId="0" applyFont="1" applyFill="1" applyAlignment="1">
      <alignment horizontal="center" vertical="center" wrapText="1"/>
    </xf>
    <xf numFmtId="0" fontId="8" fillId="2" borderId="0" xfId="0" applyFont="1" applyFill="1" applyAlignment="1">
      <alignment horizontal="center" vertical="center"/>
    </xf>
    <xf numFmtId="49" fontId="15" fillId="5" borderId="30" xfId="2" applyNumberFormat="1" applyFont="1" applyFill="1" applyBorder="1" applyAlignment="1">
      <alignment horizontal="center" vertical="center"/>
    </xf>
    <xf numFmtId="49" fontId="11" fillId="0" borderId="1" xfId="2" applyNumberFormat="1" applyFont="1" applyBorder="1" applyAlignment="1">
      <alignment horizontal="center"/>
    </xf>
    <xf numFmtId="49" fontId="13" fillId="0" borderId="1" xfId="2" applyNumberFormat="1" applyBorder="1" applyAlignment="1">
      <alignment horizontal="center" vertical="center"/>
    </xf>
    <xf numFmtId="49" fontId="25" fillId="2" borderId="31" xfId="0" applyNumberFormat="1" applyFont="1" applyFill="1" applyBorder="1" applyAlignment="1">
      <alignment horizontal="center" vertical="center"/>
    </xf>
    <xf numFmtId="49" fontId="13" fillId="4" borderId="1" xfId="2" applyNumberFormat="1" applyFill="1" applyBorder="1" applyAlignment="1">
      <alignment horizontal="center" vertical="center"/>
    </xf>
    <xf numFmtId="49" fontId="15" fillId="0" borderId="1" xfId="2" applyNumberFormat="1" applyFont="1" applyBorder="1" applyAlignment="1">
      <alignment horizontal="center" vertical="center"/>
    </xf>
    <xf numFmtId="0" fontId="2" fillId="8" borderId="1" xfId="0" applyFont="1" applyFill="1" applyBorder="1" applyAlignment="1">
      <alignment horizontal="center" vertical="center"/>
    </xf>
    <xf numFmtId="49" fontId="5"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3" borderId="1" xfId="0" applyNumberFormat="1" applyFont="1" applyFill="1" applyBorder="1" applyAlignment="1">
      <alignment horizontal="center" vertical="center" wrapText="1"/>
    </xf>
    <xf numFmtId="49" fontId="0" fillId="0" borderId="0" xfId="0" applyNumberFormat="1" applyAlignment="1">
      <alignment horizontal="center" vertical="center"/>
    </xf>
    <xf numFmtId="0" fontId="2" fillId="8" borderId="1" xfId="0" applyFont="1" applyFill="1" applyBorder="1" applyAlignment="1">
      <alignment horizontal="left" vertical="center"/>
    </xf>
    <xf numFmtId="49" fontId="26" fillId="0" borderId="0" xfId="2" applyNumberFormat="1" applyFont="1" applyAlignment="1">
      <alignment horizontal="center"/>
    </xf>
    <xf numFmtId="49" fontId="9" fillId="0" borderId="0" xfId="2" applyNumberFormat="1" applyFont="1" applyAlignment="1">
      <alignment horizontal="center" vertical="center"/>
    </xf>
    <xf numFmtId="49" fontId="26" fillId="0" borderId="0" xfId="2" quotePrefix="1" applyNumberFormat="1" applyFont="1" applyAlignment="1">
      <alignment horizontal="center" vertical="center"/>
    </xf>
    <xf numFmtId="49" fontId="14" fillId="0" borderId="0" xfId="0" applyNumberFormat="1" applyFont="1"/>
    <xf numFmtId="49" fontId="26" fillId="0" borderId="0" xfId="2" applyNumberFormat="1" applyFont="1" applyAlignment="1">
      <alignment horizontal="center" vertical="center"/>
    </xf>
    <xf numFmtId="0" fontId="29" fillId="0" borderId="0" xfId="2" applyFont="1" applyAlignment="1">
      <alignment horizontal="center" vertical="center"/>
    </xf>
    <xf numFmtId="0" fontId="0" fillId="0" borderId="0" xfId="0" applyAlignment="1">
      <alignment vertical="center" wrapText="1"/>
    </xf>
    <xf numFmtId="0" fontId="9" fillId="0" borderId="1" xfId="0" applyFont="1" applyBorder="1" applyAlignment="1">
      <alignment horizontal="center" vertical="center"/>
    </xf>
    <xf numFmtId="0" fontId="9" fillId="0" borderId="1" xfId="0" applyFont="1" applyBorder="1" applyAlignment="1">
      <alignment horizontal="center" vertical="center" wrapText="1"/>
    </xf>
    <xf numFmtId="49" fontId="11" fillId="5" borderId="21" xfId="2" applyNumberFormat="1" applyFont="1" applyFill="1" applyBorder="1" applyAlignment="1">
      <alignment horizontal="center"/>
    </xf>
    <xf numFmtId="49" fontId="11" fillId="5" borderId="19" xfId="2" applyNumberFormat="1" applyFont="1" applyFill="1" applyBorder="1" applyAlignment="1">
      <alignment horizontal="center"/>
    </xf>
    <xf numFmtId="49" fontId="11" fillId="5" borderId="20" xfId="2" applyNumberFormat="1" applyFont="1" applyFill="1" applyBorder="1" applyAlignment="1">
      <alignment horizontal="center"/>
    </xf>
    <xf numFmtId="49" fontId="11" fillId="5" borderId="3" xfId="2" applyNumberFormat="1" applyFont="1" applyFill="1" applyBorder="1" applyAlignment="1">
      <alignment horizontal="center"/>
    </xf>
    <xf numFmtId="49" fontId="11" fillId="5" borderId="4" xfId="2" applyNumberFormat="1" applyFont="1" applyFill="1" applyBorder="1" applyAlignment="1">
      <alignment horizontal="center"/>
    </xf>
    <xf numFmtId="49" fontId="11" fillId="5" borderId="5" xfId="2" applyNumberFormat="1" applyFont="1" applyFill="1" applyBorder="1" applyAlignment="1">
      <alignment horizontal="center"/>
    </xf>
    <xf numFmtId="49" fontId="11" fillId="4" borderId="6" xfId="2" applyNumberFormat="1" applyFont="1" applyFill="1" applyBorder="1" applyAlignment="1">
      <alignment horizontal="center"/>
    </xf>
    <xf numFmtId="49" fontId="11" fillId="4" borderId="7" xfId="2" applyNumberFormat="1" applyFont="1" applyFill="1" applyBorder="1" applyAlignment="1">
      <alignment horizontal="center"/>
    </xf>
    <xf numFmtId="49" fontId="11" fillId="4" borderId="8" xfId="2" applyNumberFormat="1" applyFont="1" applyFill="1" applyBorder="1" applyAlignment="1">
      <alignment horizontal="center"/>
    </xf>
    <xf numFmtId="49" fontId="11" fillId="6" borderId="6" xfId="2" applyNumberFormat="1" applyFont="1" applyFill="1" applyBorder="1" applyAlignment="1">
      <alignment horizontal="center"/>
    </xf>
    <xf numFmtId="49" fontId="11" fillId="6" borderId="7" xfId="2" applyNumberFormat="1" applyFont="1" applyFill="1" applyBorder="1" applyAlignment="1">
      <alignment horizontal="center"/>
    </xf>
    <xf numFmtId="49" fontId="11" fillId="6" borderId="8" xfId="2" applyNumberFormat="1" applyFont="1" applyFill="1" applyBorder="1" applyAlignment="1">
      <alignment horizontal="center"/>
    </xf>
    <xf numFmtId="49" fontId="11" fillId="7" borderId="6" xfId="2" quotePrefix="1" applyNumberFormat="1" applyFont="1" applyFill="1" applyBorder="1" applyAlignment="1">
      <alignment horizontal="center" vertical="center"/>
    </xf>
    <xf numFmtId="49" fontId="11" fillId="7" borderId="7" xfId="2" applyNumberFormat="1" applyFont="1" applyFill="1" applyBorder="1" applyAlignment="1">
      <alignment horizontal="center" vertical="center"/>
    </xf>
    <xf numFmtId="49" fontId="11" fillId="7" borderId="8" xfId="2" applyNumberFormat="1" applyFont="1" applyFill="1" applyBorder="1" applyAlignment="1">
      <alignment horizontal="center" vertical="center"/>
    </xf>
    <xf numFmtId="49" fontId="11" fillId="3" borderId="6" xfId="2" applyNumberFormat="1" applyFont="1" applyFill="1" applyBorder="1" applyAlignment="1">
      <alignment horizontal="center"/>
    </xf>
    <xf numFmtId="49" fontId="11" fillId="3" borderId="7" xfId="2" applyNumberFormat="1" applyFont="1" applyFill="1" applyBorder="1" applyAlignment="1">
      <alignment horizontal="center"/>
    </xf>
    <xf numFmtId="0" fontId="0" fillId="0" borderId="1" xfId="0" applyBorder="1" applyAlignment="1">
      <alignment horizontal="center" vertical="center"/>
    </xf>
    <xf numFmtId="0" fontId="4" fillId="2" borderId="0" xfId="0" applyFont="1" applyFill="1" applyAlignment="1">
      <alignment horizontal="left"/>
    </xf>
    <xf numFmtId="0" fontId="5" fillId="2" borderId="0" xfId="0" applyFont="1" applyFill="1" applyAlignment="1">
      <alignment horizontal="left" vertical="top" wrapText="1"/>
    </xf>
  </cellXfs>
  <cellStyles count="4">
    <cellStyle name="Normal" xfId="0" builtinId="0"/>
    <cellStyle name="Normal 2" xfId="1" xr:uid="{F6F2164A-BE17-44A9-8C58-E457E011BBFD}"/>
    <cellStyle name="Normal 2 2" xfId="3" xr:uid="{9583C227-DDDB-4719-B728-CC97BEAA3CE5}"/>
    <cellStyle name="Normal 3" xfId="2" xr:uid="{A1E77F63-34DD-496D-92E5-E8A008922D9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openxmlformats.org/officeDocument/2006/relationships/calcChain" Target="calcChain.xml"/><Relationship Id="rId10" Type="http://schemas.openxmlformats.org/officeDocument/2006/relationships/externalLink" Target="externalLinks/externalLink6.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171450</xdr:colOff>
          <xdr:row>7</xdr:row>
          <xdr:rowOff>114300</xdr:rowOff>
        </xdr:from>
        <xdr:to>
          <xdr:col>1</xdr:col>
          <xdr:colOff>1847850</xdr:colOff>
          <xdr:row>8</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7</xdr:row>
          <xdr:rowOff>114300</xdr:rowOff>
        </xdr:from>
        <xdr:to>
          <xdr:col>3</xdr:col>
          <xdr:colOff>1200150</xdr:colOff>
          <xdr:row>8</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Start Indexing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istina.g.t.cuzon/Desktop/FY16/07%20Mar%2016.1/CYCLE%203/02%20PREPARE/Regression/16.1%20RTP_Regression_F110%20Automatic%20Paymen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s2amr.accenture.com/Users/kathleen.v.afalla/Desktop/Khatz/GEOX/Test%20Scripts/Config%20Design/Ariba%20Buyer%20Enablement%20Configuration%20Design%20-%20BRUNEI.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s2amr.accenture.com/GeoEx/Presentation%20Materials/Ariba%20Buyer%20Enablement%20Configuration%20Design%20-%20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ts.accenture.com/Documents%20and%20Settings/brian.t.tan/Local%20Settings/Temporary%20Internet%20Files/OLK1D/Ariba%20Buyer%20Enablement%20Configuration%20Design%20Italy_1_4%20(sen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ichael.p.monroid/Desktop/Test%20Deliverables/RTP_Gentran_AM_Input_0811201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offs1009\vol1\Ariba\FY04%20Releases\Release%204.5%20-%20Ariba%20v8.1%20Upgrade\05%20-%20Assembly%20Test\02%20-%20SAP%20Build\Release4.5_AT%20Cycle%20Control%20Shee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L"/>
      <sheetName val="Document Control"/>
      <sheetName val="TCER"/>
      <sheetName val="TCERs"/>
      <sheetName val="Test Script"/>
      <sheetName val="Test User Roles"/>
      <sheetName val="Test Data"/>
      <sheetName val="TS1"/>
      <sheetName val="TS2"/>
      <sheetName val="TS3"/>
      <sheetName val="TS4"/>
      <sheetName val="TS5"/>
      <sheetName val="TS6"/>
      <sheetName val="TS7"/>
      <sheetName val="TS8"/>
      <sheetName val="TS9"/>
      <sheetName val="TS10"/>
      <sheetName val="TS11"/>
      <sheetName val="TS12"/>
      <sheetName val="TS13"/>
      <sheetName val="Scripting Log"/>
      <sheetName val="Vendors"/>
      <sheetName val="DION AMEX"/>
      <sheetName val="DB"/>
      <sheetName val="Contacts"/>
      <sheetName val="18.3C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Business Design &amp; Prototype"/>
      <sheetName val="Company Code_POrg"/>
      <sheetName val="Country Config"/>
      <sheetName val="Addresses"/>
      <sheetName val="PO Lay Out Mapping"/>
      <sheetName val="Intervention - Commodity Code "/>
      <sheetName val="Intervention - Supplier"/>
      <sheetName val="User Group Mapping"/>
      <sheetName val="REFERENCE"/>
      <sheetName val="APPENDIX"/>
    </sheetNames>
    <sheetDataSet>
      <sheetData sheetId="0">
        <row r="1">
          <cell r="H1" t="str">
            <v>yes</v>
          </cell>
        </row>
        <row r="2">
          <cell r="H2" t="str">
            <v>no</v>
          </cell>
        </row>
      </sheetData>
      <sheetData sheetId="1"/>
      <sheetData sheetId="2"/>
      <sheetData sheetId="3"/>
      <sheetData sheetId="4"/>
      <sheetData sheetId="5"/>
      <sheetData sheetId="6"/>
      <sheetData sheetId="7"/>
      <sheetData sheetId="8"/>
      <sheetData sheetId="9"/>
      <sheetData sheetId="10">
        <row r="3">
          <cell r="M3" t="str">
            <v>Andorra</v>
          </cell>
        </row>
        <row r="4">
          <cell r="M4" t="str">
            <v>United Arab Emirates</v>
          </cell>
        </row>
        <row r="5">
          <cell r="M5" t="str">
            <v>Afghanistan</v>
          </cell>
        </row>
        <row r="6">
          <cell r="M6" t="str">
            <v>Antigua and Barbuda</v>
          </cell>
        </row>
        <row r="7">
          <cell r="M7" t="str">
            <v>Anguilla</v>
          </cell>
        </row>
        <row r="8">
          <cell r="M8" t="str">
            <v>Albania</v>
          </cell>
        </row>
        <row r="9">
          <cell r="M9" t="str">
            <v>Armenia</v>
          </cell>
        </row>
        <row r="10">
          <cell r="M10" t="str">
            <v>Netherlands Antilles</v>
          </cell>
        </row>
        <row r="11">
          <cell r="M11" t="str">
            <v>Angola</v>
          </cell>
        </row>
        <row r="12">
          <cell r="M12" t="str">
            <v>Antarctica</v>
          </cell>
        </row>
        <row r="13">
          <cell r="M13" t="str">
            <v>Argentina</v>
          </cell>
        </row>
        <row r="14">
          <cell r="M14" t="str">
            <v>American Samoa</v>
          </cell>
        </row>
        <row r="15">
          <cell r="M15" t="str">
            <v>Österreich</v>
          </cell>
        </row>
        <row r="16">
          <cell r="M16" t="str">
            <v>Australia</v>
          </cell>
        </row>
        <row r="17">
          <cell r="M17" t="str">
            <v>Aruba</v>
          </cell>
        </row>
        <row r="18">
          <cell r="M18" t="str">
            <v>Azerbaijan</v>
          </cell>
        </row>
        <row r="19">
          <cell r="M19" t="str">
            <v>Bosnia and Herzegovina</v>
          </cell>
        </row>
        <row r="20">
          <cell r="M20" t="str">
            <v>Barbados</v>
          </cell>
        </row>
        <row r="21">
          <cell r="M21" t="str">
            <v>Bangladesh</v>
          </cell>
        </row>
        <row r="22">
          <cell r="M22" t="str">
            <v>Belgium</v>
          </cell>
        </row>
        <row r="23">
          <cell r="M23" t="str">
            <v>Burkina Faso</v>
          </cell>
        </row>
        <row r="24">
          <cell r="M24" t="str">
            <v>Bulgaria</v>
          </cell>
        </row>
        <row r="25">
          <cell r="M25" t="str">
            <v>Bahrain</v>
          </cell>
        </row>
        <row r="26">
          <cell r="M26" t="str">
            <v>Burundi</v>
          </cell>
        </row>
        <row r="27">
          <cell r="M27" t="str">
            <v>Benin</v>
          </cell>
        </row>
        <row r="28">
          <cell r="M28" t="str">
            <v>Bermuda</v>
          </cell>
        </row>
        <row r="29">
          <cell r="M29" t="str">
            <v>Brunei Darussalam</v>
          </cell>
        </row>
        <row r="30">
          <cell r="M30" t="str">
            <v>Bolivia</v>
          </cell>
        </row>
        <row r="31">
          <cell r="M31" t="str">
            <v>Brazil</v>
          </cell>
        </row>
        <row r="32">
          <cell r="M32" t="str">
            <v>Bahamas</v>
          </cell>
        </row>
        <row r="33">
          <cell r="M33" t="str">
            <v>Bhutan</v>
          </cell>
        </row>
        <row r="34">
          <cell r="M34" t="str">
            <v>Bouvet Island</v>
          </cell>
        </row>
        <row r="35">
          <cell r="M35" t="str">
            <v>Botswana</v>
          </cell>
        </row>
        <row r="36">
          <cell r="M36" t="str">
            <v>Belarus</v>
          </cell>
        </row>
        <row r="37">
          <cell r="M37" t="str">
            <v>Belize</v>
          </cell>
        </row>
        <row r="38">
          <cell r="M38" t="str">
            <v>Canada</v>
          </cell>
        </row>
        <row r="39">
          <cell r="M39" t="str">
            <v>Cocos (Keeling) Islands</v>
          </cell>
        </row>
        <row r="40">
          <cell r="M40" t="str">
            <v>Congo, the Democratic Republic of the</v>
          </cell>
        </row>
        <row r="41">
          <cell r="M41" t="str">
            <v>Central African Republic</v>
          </cell>
        </row>
        <row r="42">
          <cell r="M42" t="str">
            <v>Congo</v>
          </cell>
        </row>
        <row r="43">
          <cell r="M43" t="str">
            <v>Schweiz</v>
          </cell>
        </row>
        <row r="44">
          <cell r="M44" t="str">
            <v>Cote d'Ivoire</v>
          </cell>
        </row>
        <row r="45">
          <cell r="M45" t="str">
            <v>Cook Islands</v>
          </cell>
        </row>
        <row r="46">
          <cell r="M46" t="str">
            <v>Chile</v>
          </cell>
        </row>
        <row r="47">
          <cell r="M47" t="str">
            <v>Cameroon</v>
          </cell>
        </row>
        <row r="48">
          <cell r="M48" t="str">
            <v>China</v>
          </cell>
        </row>
        <row r="49">
          <cell r="M49" t="str">
            <v>Colombia</v>
          </cell>
        </row>
        <row r="50">
          <cell r="M50" t="str">
            <v>Czechoslovakia</v>
          </cell>
        </row>
        <row r="51">
          <cell r="M51" t="str">
            <v>Costa Rica</v>
          </cell>
        </row>
        <row r="52">
          <cell r="M52" t="str">
            <v>Cuba</v>
          </cell>
        </row>
        <row r="53">
          <cell r="M53" t="str">
            <v>Cape Verde</v>
          </cell>
        </row>
        <row r="54">
          <cell r="M54" t="str">
            <v>Christmas Island</v>
          </cell>
        </row>
        <row r="55">
          <cell r="M55" t="str">
            <v>Cyprus</v>
          </cell>
        </row>
        <row r="56">
          <cell r="M56" t="str">
            <v>Czech Republic</v>
          </cell>
        </row>
        <row r="57">
          <cell r="M57" t="str">
            <v>Deutschland</v>
          </cell>
        </row>
        <row r="58">
          <cell r="M58" t="str">
            <v>Djibouti</v>
          </cell>
        </row>
        <row r="59">
          <cell r="M59" t="str">
            <v>Denmark</v>
          </cell>
        </row>
        <row r="60">
          <cell r="M60" t="str">
            <v>Dominica</v>
          </cell>
        </row>
        <row r="61">
          <cell r="M61" t="str">
            <v>Dominican Republic</v>
          </cell>
        </row>
        <row r="62">
          <cell r="M62" t="str">
            <v>Algeria</v>
          </cell>
        </row>
        <row r="63">
          <cell r="M63" t="str">
            <v>Ecuador</v>
          </cell>
        </row>
        <row r="64">
          <cell r="M64" t="str">
            <v>Estonia</v>
          </cell>
        </row>
        <row r="65">
          <cell r="M65" t="str">
            <v>Egypt</v>
          </cell>
        </row>
        <row r="66">
          <cell r="M66" t="str">
            <v>Western Sahara</v>
          </cell>
        </row>
        <row r="67">
          <cell r="M67" t="str">
            <v>Eritrea</v>
          </cell>
        </row>
        <row r="68">
          <cell r="M68" t="str">
            <v>Spain</v>
          </cell>
        </row>
        <row r="69">
          <cell r="M69" t="str">
            <v>Ethiopia</v>
          </cell>
        </row>
        <row r="70">
          <cell r="M70" t="str">
            <v>Finland</v>
          </cell>
        </row>
        <row r="71">
          <cell r="M71" t="str">
            <v>Fiji</v>
          </cell>
        </row>
        <row r="72">
          <cell r="M72" t="str">
            <v>Falkland Islands (Malvinas)</v>
          </cell>
        </row>
        <row r="73">
          <cell r="M73" t="str">
            <v>Micronesia</v>
          </cell>
        </row>
        <row r="74">
          <cell r="M74" t="str">
            <v>Faroe Islands</v>
          </cell>
        </row>
        <row r="75">
          <cell r="M75" t="str">
            <v>France</v>
          </cell>
        </row>
        <row r="76">
          <cell r="M76" t="str">
            <v>France, Metropolitan</v>
          </cell>
        </row>
        <row r="77">
          <cell r="M77" t="str">
            <v>Gabon</v>
          </cell>
        </row>
        <row r="78">
          <cell r="M78" t="str">
            <v>United Kingdom</v>
          </cell>
        </row>
        <row r="79">
          <cell r="M79" t="str">
            <v>Grenada</v>
          </cell>
        </row>
        <row r="80">
          <cell r="M80" t="str">
            <v>Georgia</v>
          </cell>
        </row>
        <row r="81">
          <cell r="M81" t="str">
            <v>French Guiana</v>
          </cell>
        </row>
        <row r="82">
          <cell r="M82" t="str">
            <v>Ghana</v>
          </cell>
        </row>
        <row r="83">
          <cell r="M83" t="str">
            <v>Gibraltar</v>
          </cell>
        </row>
        <row r="84">
          <cell r="M84" t="str">
            <v>Greenland</v>
          </cell>
        </row>
        <row r="85">
          <cell r="M85" t="str">
            <v>Gambia</v>
          </cell>
        </row>
        <row r="86">
          <cell r="M86" t="str">
            <v>Guinea</v>
          </cell>
        </row>
        <row r="87">
          <cell r="M87" t="str">
            <v>Guadeloupe</v>
          </cell>
        </row>
        <row r="88">
          <cell r="M88" t="str">
            <v>Equatorial Guinea</v>
          </cell>
        </row>
        <row r="89">
          <cell r="M89" t="str">
            <v>Greece</v>
          </cell>
        </row>
        <row r="90">
          <cell r="M90" t="str">
            <v>South Georgia</v>
          </cell>
        </row>
        <row r="91">
          <cell r="M91" t="str">
            <v>Guatemala</v>
          </cell>
        </row>
        <row r="92">
          <cell r="M92" t="str">
            <v>Guam</v>
          </cell>
        </row>
        <row r="93">
          <cell r="M93" t="str">
            <v>Guinea-Bissau</v>
          </cell>
        </row>
        <row r="94">
          <cell r="M94" t="str">
            <v>Guyana</v>
          </cell>
        </row>
        <row r="95">
          <cell r="M95" t="str">
            <v>Hong Kong</v>
          </cell>
        </row>
        <row r="96">
          <cell r="M96" t="str">
            <v>Heard Island and McDonald Islands</v>
          </cell>
        </row>
        <row r="97">
          <cell r="M97" t="str">
            <v>Honduras</v>
          </cell>
        </row>
        <row r="98">
          <cell r="M98" t="str">
            <v>Croatia</v>
          </cell>
        </row>
        <row r="99">
          <cell r="M99" t="str">
            <v>Haiti</v>
          </cell>
        </row>
        <row r="100">
          <cell r="M100" t="str">
            <v>Hungary</v>
          </cell>
        </row>
        <row r="101">
          <cell r="M101" t="str">
            <v>Indonesia</v>
          </cell>
        </row>
        <row r="102">
          <cell r="M102" t="str">
            <v>Ireland</v>
          </cell>
        </row>
        <row r="103">
          <cell r="M103" t="str">
            <v>Israel</v>
          </cell>
        </row>
        <row r="104">
          <cell r="M104" t="str">
            <v>India</v>
          </cell>
        </row>
        <row r="105">
          <cell r="M105" t="str">
            <v>British Indian Ocean Territory</v>
          </cell>
        </row>
        <row r="106">
          <cell r="M106" t="str">
            <v>Iraq</v>
          </cell>
        </row>
        <row r="107">
          <cell r="M107" t="str">
            <v>Iran</v>
          </cell>
        </row>
        <row r="108">
          <cell r="M108" t="str">
            <v>Iceland</v>
          </cell>
        </row>
        <row r="109">
          <cell r="M109" t="str">
            <v>Italy</v>
          </cell>
        </row>
        <row r="110">
          <cell r="M110" t="str">
            <v>Jamaica</v>
          </cell>
        </row>
        <row r="111">
          <cell r="M111" t="str">
            <v>Jordan</v>
          </cell>
        </row>
        <row r="112">
          <cell r="M112" t="str">
            <v>Japan</v>
          </cell>
        </row>
        <row r="113">
          <cell r="M113" t="str">
            <v>Kenya</v>
          </cell>
        </row>
        <row r="114">
          <cell r="M114" t="str">
            <v>Kyrgyzstan</v>
          </cell>
        </row>
        <row r="115">
          <cell r="M115" t="str">
            <v>Cambodia</v>
          </cell>
        </row>
        <row r="116">
          <cell r="M116" t="str">
            <v>Kiribati</v>
          </cell>
        </row>
        <row r="117">
          <cell r="M117" t="str">
            <v>Comoros</v>
          </cell>
        </row>
        <row r="118">
          <cell r="M118" t="str">
            <v>Saint Kitts and Nevis</v>
          </cell>
        </row>
        <row r="119">
          <cell r="M119" t="str">
            <v>North Korea</v>
          </cell>
        </row>
        <row r="120">
          <cell r="M120" t="str">
            <v>South Korea</v>
          </cell>
        </row>
        <row r="121">
          <cell r="M121" t="str">
            <v>Kuwait</v>
          </cell>
        </row>
        <row r="122">
          <cell r="M122" t="str">
            <v>Cayman Islands</v>
          </cell>
        </row>
        <row r="123">
          <cell r="M123" t="str">
            <v>Kazakhstan</v>
          </cell>
        </row>
        <row r="124">
          <cell r="M124" t="str">
            <v>Laos</v>
          </cell>
        </row>
        <row r="125">
          <cell r="M125" t="str">
            <v>Lebanon</v>
          </cell>
        </row>
        <row r="126">
          <cell r="M126" t="str">
            <v>Saint Lucia</v>
          </cell>
        </row>
        <row r="127">
          <cell r="M127" t="str">
            <v>Liechtenstein</v>
          </cell>
        </row>
        <row r="128">
          <cell r="M128" t="str">
            <v>Sri Lanka</v>
          </cell>
        </row>
        <row r="129">
          <cell r="M129" t="str">
            <v>Liberia</v>
          </cell>
        </row>
        <row r="130">
          <cell r="M130" t="str">
            <v>Lesotho</v>
          </cell>
        </row>
        <row r="131">
          <cell r="M131" t="str">
            <v>Latin America</v>
          </cell>
        </row>
        <row r="132">
          <cell r="M132" t="str">
            <v>Luxembourg</v>
          </cell>
        </row>
        <row r="133">
          <cell r="M133" t="str">
            <v>Latvia</v>
          </cell>
        </row>
        <row r="134">
          <cell r="M134" t="str">
            <v>Lithuania</v>
          </cell>
        </row>
        <row r="135">
          <cell r="M135" t="str">
            <v>Libyan Arab Jamahiriya</v>
          </cell>
        </row>
        <row r="136">
          <cell r="M136" t="str">
            <v>Morocco</v>
          </cell>
        </row>
        <row r="137">
          <cell r="M137" t="str">
            <v>Monaco</v>
          </cell>
        </row>
        <row r="138">
          <cell r="M138" t="str">
            <v>Moldova</v>
          </cell>
        </row>
        <row r="139">
          <cell r="M139" t="str">
            <v>Madagascar</v>
          </cell>
        </row>
        <row r="140">
          <cell r="M140" t="str">
            <v>Marshall Islands</v>
          </cell>
        </row>
        <row r="141">
          <cell r="M141" t="str">
            <v>Macedonia</v>
          </cell>
        </row>
        <row r="142">
          <cell r="M142" t="str">
            <v>Mali</v>
          </cell>
        </row>
        <row r="143">
          <cell r="M143" t="str">
            <v>Myanmar</v>
          </cell>
        </row>
        <row r="144">
          <cell r="M144" t="str">
            <v>Mongolia</v>
          </cell>
        </row>
        <row r="145">
          <cell r="M145" t="str">
            <v>Macau</v>
          </cell>
        </row>
        <row r="146">
          <cell r="M146" t="str">
            <v>Northern Mariana Islands</v>
          </cell>
        </row>
        <row r="147">
          <cell r="M147" t="str">
            <v>Martinique</v>
          </cell>
        </row>
        <row r="148">
          <cell r="M148" t="str">
            <v>Mauritania</v>
          </cell>
        </row>
        <row r="149">
          <cell r="M149" t="str">
            <v>Montserrat</v>
          </cell>
        </row>
        <row r="150">
          <cell r="M150" t="str">
            <v>Malta</v>
          </cell>
        </row>
        <row r="151">
          <cell r="M151" t="str">
            <v>Mauritius</v>
          </cell>
        </row>
        <row r="152">
          <cell r="M152" t="str">
            <v>Maldives</v>
          </cell>
        </row>
        <row r="153">
          <cell r="M153" t="str">
            <v>Malawi</v>
          </cell>
        </row>
        <row r="154">
          <cell r="M154" t="str">
            <v>Mexico</v>
          </cell>
        </row>
        <row r="155">
          <cell r="M155" t="str">
            <v>Malaysia</v>
          </cell>
        </row>
        <row r="156">
          <cell r="M156" t="str">
            <v>Mozambique</v>
          </cell>
        </row>
        <row r="157">
          <cell r="M157" t="str">
            <v>Namibia</v>
          </cell>
        </row>
        <row r="158">
          <cell r="M158" t="str">
            <v>New Caledonia</v>
          </cell>
        </row>
        <row r="159">
          <cell r="M159" t="str">
            <v>Niger</v>
          </cell>
        </row>
        <row r="160">
          <cell r="M160" t="str">
            <v>Norfolk Island</v>
          </cell>
        </row>
        <row r="161">
          <cell r="M161" t="str">
            <v>Nigeria</v>
          </cell>
        </row>
        <row r="162">
          <cell r="M162" t="str">
            <v>Nicaragua</v>
          </cell>
        </row>
        <row r="163">
          <cell r="M163" t="str">
            <v>Netherlands</v>
          </cell>
        </row>
        <row r="164">
          <cell r="M164" t="str">
            <v>Norway</v>
          </cell>
        </row>
        <row r="165">
          <cell r="M165" t="str">
            <v>Nepal</v>
          </cell>
        </row>
        <row r="166">
          <cell r="M166" t="str">
            <v>Nauru</v>
          </cell>
        </row>
        <row r="167">
          <cell r="M167" t="str">
            <v>Neutral Zone</v>
          </cell>
        </row>
        <row r="168">
          <cell r="M168" t="str">
            <v>Niue</v>
          </cell>
        </row>
        <row r="169">
          <cell r="M169" t="str">
            <v>New Zealand</v>
          </cell>
        </row>
        <row r="170">
          <cell r="M170" t="str">
            <v>Oman</v>
          </cell>
        </row>
        <row r="171">
          <cell r="M171" t="str">
            <v>Panama</v>
          </cell>
        </row>
        <row r="172">
          <cell r="M172" t="str">
            <v>Peru</v>
          </cell>
        </row>
        <row r="173">
          <cell r="M173" t="str">
            <v>French Polynesia</v>
          </cell>
        </row>
        <row r="174">
          <cell r="M174" t="str">
            <v>Papua New Guinea</v>
          </cell>
        </row>
        <row r="175">
          <cell r="M175" t="str">
            <v>Philippines</v>
          </cell>
        </row>
        <row r="176">
          <cell r="M176" t="str">
            <v>Pakistan</v>
          </cell>
        </row>
        <row r="177">
          <cell r="M177" t="str">
            <v>Poland</v>
          </cell>
        </row>
        <row r="178">
          <cell r="M178" t="str">
            <v>Saint Pierre and Miquelon</v>
          </cell>
        </row>
        <row r="179">
          <cell r="M179" t="str">
            <v>Pitcairn</v>
          </cell>
        </row>
        <row r="180">
          <cell r="M180" t="str">
            <v>Puerto Rico</v>
          </cell>
        </row>
        <row r="181">
          <cell r="M181" t="str">
            <v>Portugal</v>
          </cell>
        </row>
        <row r="182">
          <cell r="M182" t="str">
            <v>Palau</v>
          </cell>
        </row>
        <row r="183">
          <cell r="M183" t="str">
            <v>Paraguay</v>
          </cell>
        </row>
        <row r="184">
          <cell r="M184" t="str">
            <v>Qatar</v>
          </cell>
        </row>
        <row r="185">
          <cell r="M185" t="str">
            <v>Reunion</v>
          </cell>
        </row>
        <row r="186">
          <cell r="M186" t="str">
            <v>Romania</v>
          </cell>
        </row>
        <row r="187">
          <cell r="M187" t="str">
            <v>Russian Federation</v>
          </cell>
        </row>
        <row r="188">
          <cell r="M188" t="str">
            <v>Rwanda</v>
          </cell>
        </row>
        <row r="189">
          <cell r="M189" t="str">
            <v>Saudi Arabia</v>
          </cell>
        </row>
        <row r="190">
          <cell r="M190" t="str">
            <v>Solomon Islands</v>
          </cell>
        </row>
        <row r="191">
          <cell r="M191" t="str">
            <v>Seychelles</v>
          </cell>
        </row>
        <row r="192">
          <cell r="M192" t="str">
            <v>Sudan</v>
          </cell>
        </row>
        <row r="193">
          <cell r="M193" t="str">
            <v>Sweden</v>
          </cell>
        </row>
        <row r="194">
          <cell r="M194" t="str">
            <v>Singapore</v>
          </cell>
        </row>
        <row r="195">
          <cell r="M195" t="str">
            <v>Saint Helena</v>
          </cell>
        </row>
        <row r="196">
          <cell r="M196" t="str">
            <v>Slovenia</v>
          </cell>
        </row>
        <row r="197">
          <cell r="M197" t="str">
            <v>Svalbard and Jan Mayen Islands</v>
          </cell>
        </row>
        <row r="198">
          <cell r="M198" t="str">
            <v>Slovakia</v>
          </cell>
        </row>
        <row r="199">
          <cell r="M199" t="str">
            <v>Sierra Leone</v>
          </cell>
        </row>
        <row r="200">
          <cell r="M200" t="str">
            <v>San Marino</v>
          </cell>
        </row>
        <row r="201">
          <cell r="M201" t="str">
            <v>Senegal</v>
          </cell>
        </row>
        <row r="202">
          <cell r="M202" t="str">
            <v>Somalia</v>
          </cell>
        </row>
        <row r="203">
          <cell r="M203" t="str">
            <v>Suriname</v>
          </cell>
        </row>
        <row r="204">
          <cell r="M204" t="str">
            <v>Sao Tome and Principe</v>
          </cell>
        </row>
        <row r="205">
          <cell r="M205" t="str">
            <v>Stateless</v>
          </cell>
        </row>
        <row r="206">
          <cell r="M206" t="str">
            <v>USSR</v>
          </cell>
        </row>
        <row r="207">
          <cell r="M207" t="str">
            <v>El Salvador</v>
          </cell>
        </row>
        <row r="208">
          <cell r="M208" t="str">
            <v>Syrian Arab Republic</v>
          </cell>
        </row>
        <row r="209">
          <cell r="M209" t="str">
            <v>Swaziland</v>
          </cell>
        </row>
        <row r="210">
          <cell r="M210" t="str">
            <v>Turks and Caicos Islands</v>
          </cell>
        </row>
        <row r="211">
          <cell r="M211" t="str">
            <v>Chad</v>
          </cell>
        </row>
        <row r="212">
          <cell r="M212" t="str">
            <v>French Southern Territories</v>
          </cell>
        </row>
        <row r="213">
          <cell r="M213" t="str">
            <v>Togo</v>
          </cell>
        </row>
        <row r="214">
          <cell r="M214" t="str">
            <v>Thailand</v>
          </cell>
        </row>
        <row r="215">
          <cell r="M215" t="str">
            <v>Tajikistan</v>
          </cell>
        </row>
        <row r="216">
          <cell r="M216" t="str">
            <v>Tokelau</v>
          </cell>
        </row>
        <row r="217">
          <cell r="M217" t="str">
            <v>Turkmenistan</v>
          </cell>
        </row>
        <row r="218">
          <cell r="M218" t="str">
            <v>Tunisia</v>
          </cell>
        </row>
        <row r="219">
          <cell r="M219" t="str">
            <v>Tonga</v>
          </cell>
        </row>
        <row r="220">
          <cell r="M220" t="str">
            <v>East Timor</v>
          </cell>
        </row>
        <row r="221">
          <cell r="M221" t="str">
            <v>Turkey</v>
          </cell>
        </row>
        <row r="222">
          <cell r="M222" t="str">
            <v>Trinidad and Tobago</v>
          </cell>
        </row>
        <row r="223">
          <cell r="M223" t="str">
            <v>Tuvalu</v>
          </cell>
        </row>
        <row r="224">
          <cell r="M224" t="str">
            <v>Taiwan</v>
          </cell>
        </row>
        <row r="225">
          <cell r="M225" t="str">
            <v>Tanzania</v>
          </cell>
        </row>
        <row r="226">
          <cell r="M226" t="str">
            <v>Ukraine</v>
          </cell>
        </row>
        <row r="227">
          <cell r="M227" t="str">
            <v>Uganda</v>
          </cell>
        </row>
        <row r="228">
          <cell r="M228" t="str">
            <v>United States Minor Outlying Islands</v>
          </cell>
        </row>
        <row r="229">
          <cell r="M229" t="str">
            <v>United States</v>
          </cell>
        </row>
        <row r="230">
          <cell r="M230" t="str">
            <v>Uruguay</v>
          </cell>
        </row>
        <row r="231">
          <cell r="M231" t="str">
            <v>Uzbekistan</v>
          </cell>
        </row>
        <row r="232">
          <cell r="M232" t="str">
            <v>Vatican City State (Holy See)</v>
          </cell>
        </row>
        <row r="233">
          <cell r="M233" t="str">
            <v>Saint Vincent and the Grenadines</v>
          </cell>
        </row>
        <row r="234">
          <cell r="M234" t="str">
            <v>Venezuela</v>
          </cell>
        </row>
        <row r="235">
          <cell r="M235" t="str">
            <v>Virgin Islands (British)</v>
          </cell>
        </row>
        <row r="236">
          <cell r="M236" t="str">
            <v>Virgin Islands (U.S.)</v>
          </cell>
        </row>
        <row r="237">
          <cell r="M237" t="str">
            <v>Viet Nam</v>
          </cell>
        </row>
        <row r="238">
          <cell r="M238" t="str">
            <v>Vanuatu</v>
          </cell>
        </row>
        <row r="239">
          <cell r="M239" t="str">
            <v>Wallis and Futuna Islands</v>
          </cell>
        </row>
        <row r="240">
          <cell r="M240" t="str">
            <v>Samoa</v>
          </cell>
        </row>
        <row r="241">
          <cell r="M241" t="str">
            <v>Catalonia</v>
          </cell>
        </row>
        <row r="242">
          <cell r="M242" t="str">
            <v>South Yemen</v>
          </cell>
        </row>
        <row r="243">
          <cell r="M243" t="str">
            <v>Yemen</v>
          </cell>
        </row>
        <row r="244">
          <cell r="M244" t="str">
            <v>Mayotte</v>
          </cell>
        </row>
        <row r="245">
          <cell r="M245" t="str">
            <v>Yugoslavia</v>
          </cell>
        </row>
        <row r="246">
          <cell r="M246" t="str">
            <v>South Africa</v>
          </cell>
        </row>
        <row r="247">
          <cell r="M247" t="str">
            <v>Zambia</v>
          </cell>
        </row>
        <row r="248">
          <cell r="M248" t="str">
            <v>Zaire</v>
          </cell>
        </row>
        <row r="249">
          <cell r="M249" t="str">
            <v>Zimbabwe</v>
          </cell>
        </row>
      </sheetData>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Business Design &amp; Prototype"/>
      <sheetName val="Company Code_POrg"/>
      <sheetName val="Country Config"/>
      <sheetName val="Addresses"/>
      <sheetName val="PO Lay Out Mapping"/>
      <sheetName val="Intervention - Commodity Code "/>
      <sheetName val="Intervention - Supplier"/>
      <sheetName val="User Group Mapping"/>
      <sheetName val="REFERENCE"/>
      <sheetName val="APPENDIX"/>
      <sheetName val="Functional Area"/>
    </sheetNames>
    <sheetDataSet>
      <sheetData sheetId="0"/>
      <sheetData sheetId="1"/>
      <sheetData sheetId="2"/>
      <sheetData sheetId="3"/>
      <sheetData sheetId="4"/>
      <sheetData sheetId="5"/>
      <sheetData sheetId="6"/>
      <sheetData sheetId="7"/>
      <sheetData sheetId="8"/>
      <sheetData sheetId="9"/>
      <sheetData sheetId="10"/>
      <sheetData sheetId="11">
        <row r="7">
          <cell r="B7" t="str">
            <v>Group Purchasing Agent</v>
          </cell>
        </row>
        <row r="8">
          <cell r="B8" t="str">
            <v>Intervention</v>
          </cell>
        </row>
        <row r="9">
          <cell r="B9" t="str">
            <v>Reporting and Query</v>
          </cell>
        </row>
        <row r="10">
          <cell r="B10" t="str">
            <v>Req and FulFill Groups</v>
          </cell>
        </row>
      </sheetData>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Company Code_POrg"/>
      <sheetName val="Country Config"/>
      <sheetName val="Addresses"/>
      <sheetName val="PO Lay Out Mapping"/>
      <sheetName val="Intervention - Commodity Code "/>
      <sheetName val="Intervention - Supplier"/>
      <sheetName val="REFERENCE"/>
      <sheetName val="Validation"/>
    </sheetNames>
    <sheetDataSet>
      <sheetData sheetId="0"/>
      <sheetData sheetId="1"/>
      <sheetData sheetId="2"/>
      <sheetData sheetId="3"/>
      <sheetData sheetId="4"/>
      <sheetData sheetId="5"/>
      <sheetData sheetId="6"/>
      <sheetData sheetId="7"/>
      <sheetData sheetId="8">
        <row r="3">
          <cell r="I3" t="str">
            <v>1 ADVERTISING-LTD</v>
          </cell>
        </row>
        <row r="4">
          <cell r="I4" t="str">
            <v>2 CORP HOUSING-LTD</v>
          </cell>
        </row>
        <row r="5">
          <cell r="I5" t="str">
            <v>3 ARTWORK-LTD</v>
          </cell>
        </row>
        <row r="6">
          <cell r="I6" t="str">
            <v>4 BANK/FINANCE-LTD</v>
          </cell>
        </row>
        <row r="7">
          <cell r="I7" t="str">
            <v>5 BRAND CONSULTING-LTD</v>
          </cell>
        </row>
        <row r="8">
          <cell r="I8" t="str">
            <v>6 BUSCARD/STATNRY-LTD</v>
          </cell>
        </row>
        <row r="9">
          <cell r="I9" t="str">
            <v>7 CAR LEASING-LTD</v>
          </cell>
        </row>
        <row r="10">
          <cell r="I10" t="str">
            <v>8 CAR RENTAL-LTD</v>
          </cell>
        </row>
        <row r="11">
          <cell r="I11" t="str">
            <v>9 CATERING/RESTRNT-LTD</v>
          </cell>
        </row>
        <row r="12">
          <cell r="I12" t="str">
            <v>10 CHARITBL CONTRIB-LTD</v>
          </cell>
        </row>
        <row r="13">
          <cell r="I13" t="str">
            <v>11 CLIENT ENTERTAIN-LTD</v>
          </cell>
        </row>
        <row r="14">
          <cell r="I14" t="str">
            <v>12 DESIGN SERVICES-LTD</v>
          </cell>
        </row>
        <row r="15">
          <cell r="I15" t="str">
            <v>13 DIALOGUE MKTG-LTD</v>
          </cell>
        </row>
        <row r="16">
          <cell r="I16" t="str">
            <v>14 EDUCATIONAL INST-LTD</v>
          </cell>
        </row>
        <row r="17">
          <cell r="I17" t="str">
            <v>15 FLOWERS/GIFTS-LTD</v>
          </cell>
        </row>
        <row r="18">
          <cell r="I18" t="str">
            <v>16 GOVRNMT SERVICES-LTD</v>
          </cell>
        </row>
        <row r="19">
          <cell r="I19" t="str">
            <v>17 GROUND TRANSPRT-LTD</v>
          </cell>
        </row>
        <row r="20">
          <cell r="I20" t="str">
            <v>18 RAIL/FERRY-LTD</v>
          </cell>
        </row>
        <row r="21">
          <cell r="I21" t="str">
            <v>19 HEALTHCARE-LTD</v>
          </cell>
        </row>
        <row r="22">
          <cell r="I22" t="str">
            <v>20 VENUE SERVICES-LTD</v>
          </cell>
        </row>
        <row r="23">
          <cell r="I23" t="str">
            <v>21 INSURANCE-LTD</v>
          </cell>
        </row>
        <row r="24">
          <cell r="I24" t="str">
            <v>23 MAIL/COURIERS-LTD</v>
          </cell>
        </row>
        <row r="25">
          <cell r="I25" t="str">
            <v>24 MEDIA RELATIONS-LTD</v>
          </cell>
        </row>
        <row r="26">
          <cell r="I26" t="str">
            <v>25 MEMBERSHIP DUES-LTD</v>
          </cell>
        </row>
        <row r="27">
          <cell r="I27" t="str">
            <v>26 REAL ESTATE AGCY-LTD</v>
          </cell>
        </row>
        <row r="28">
          <cell r="I28" t="str">
            <v>27 EVENT SERVICES-LTD</v>
          </cell>
        </row>
        <row r="29">
          <cell r="I29" t="str">
            <v>28 OFFICE EQUIP PUR-LTD</v>
          </cell>
        </row>
        <row r="30">
          <cell r="I30" t="str">
            <v>29 OFFICE EQUIP RNT-LTD</v>
          </cell>
        </row>
        <row r="31">
          <cell r="I31" t="str">
            <v>30 OFFICE RENTAL-LTD</v>
          </cell>
        </row>
        <row r="32">
          <cell r="I32" t="str">
            <v>31 OFFICE SUPPLIES-LTD</v>
          </cell>
        </row>
        <row r="33">
          <cell r="I33" t="str">
            <v>32 PHOTO/VIDEOGRPHY-LTD</v>
          </cell>
        </row>
        <row r="34">
          <cell r="I34" t="str">
            <v>33 PRINT/COPY/BIND-LTD</v>
          </cell>
        </row>
        <row r="35">
          <cell r="I35" t="str">
            <v>34 PROMO MRCHNDISE-LTD</v>
          </cell>
        </row>
        <row r="36">
          <cell r="I36" t="str">
            <v>35 PUBLICATN DB/RPT-LTD</v>
          </cell>
        </row>
        <row r="37">
          <cell r="I37" t="str">
            <v>36 PUBLICATN NEWS-LTD</v>
          </cell>
        </row>
        <row r="38">
          <cell r="I38" t="str">
            <v>37 RECRUITING AGCY-LTD</v>
          </cell>
        </row>
        <row r="39">
          <cell r="I39" t="str">
            <v>38 OFFICE MOVES-LTD</v>
          </cell>
        </row>
        <row r="40">
          <cell r="I40" t="str">
            <v>39 PERSONNEL RELOC-LTD</v>
          </cell>
        </row>
        <row r="41">
          <cell r="I41" t="str">
            <v>40 RESEARCH-LTD</v>
          </cell>
        </row>
        <row r="42">
          <cell r="I42" t="str">
            <v>41 SEASON TKTS LOAN-LTD</v>
          </cell>
        </row>
        <row r="43">
          <cell r="I43" t="str">
            <v>42 SPONSORSHIP FEES-LTD</v>
          </cell>
        </row>
        <row r="44">
          <cell r="I44" t="str">
            <v>43 TRAINING-LTD</v>
          </cell>
        </row>
        <row r="45">
          <cell r="I45" t="str">
            <v>44 TRAVEL AGENCIES-LTD</v>
          </cell>
        </row>
        <row r="46">
          <cell r="I46" t="str">
            <v>45 VENDOR SET UP-LTD</v>
          </cell>
        </row>
        <row r="47">
          <cell r="I47" t="str">
            <v>46 UTILITIES-LTD</v>
          </cell>
        </row>
        <row r="48">
          <cell r="I48" t="str">
            <v>47 AIR FARES-LTD</v>
          </cell>
        </row>
        <row r="49">
          <cell r="I49" t="str">
            <v>48 WAGE GRNSHMNTS-LTD</v>
          </cell>
        </row>
        <row r="50">
          <cell r="I50" t="str">
            <v>49 PROFSRVC MKTG-LTD</v>
          </cell>
        </row>
        <row r="51">
          <cell r="I51" t="str">
            <v>50 FREIGHT COST-LTD</v>
          </cell>
        </row>
        <row r="52">
          <cell r="I52" t="str">
            <v>51 BUSCARD/STATNRY-STD</v>
          </cell>
        </row>
        <row r="53">
          <cell r="I53" t="str">
            <v>52 OFFICE EQUIP PUR-STD</v>
          </cell>
        </row>
        <row r="54">
          <cell r="I54" t="str">
            <v>53 OFFICE SUPPLIES-STD</v>
          </cell>
        </row>
        <row r="55">
          <cell r="I55" t="str">
            <v>54 PROMO MRCHNDISE-STD</v>
          </cell>
        </row>
        <row r="56">
          <cell r="I56" t="str">
            <v>55 FULFILMENT-LTD</v>
          </cell>
        </row>
        <row r="57">
          <cell r="I57" t="str">
            <v>1000 COMPUTER HDWR-LTD</v>
          </cell>
        </row>
        <row r="58">
          <cell r="I58" t="str">
            <v>1001 CMPHWR ALNCE UT-LTD</v>
          </cell>
        </row>
        <row r="59">
          <cell r="I59" t="str">
            <v>1002 CMPHWR MAINT-STD</v>
          </cell>
        </row>
        <row r="60">
          <cell r="I60" t="str">
            <v>1003 CMPHWR MAINT-LTD</v>
          </cell>
        </row>
        <row r="61">
          <cell r="I61" t="str">
            <v>1004 CMPHWR MISC-STD</v>
          </cell>
        </row>
        <row r="62">
          <cell r="I62" t="str">
            <v>1005 CMPHWR MISC-LTD</v>
          </cell>
        </row>
        <row r="63">
          <cell r="I63" t="str">
            <v>1006 CMPHWR NTWK EQUP-STD</v>
          </cell>
        </row>
        <row r="64">
          <cell r="I64" t="str">
            <v>1007 CMPHWR NTWK EQUP-LTD</v>
          </cell>
        </row>
        <row r="65">
          <cell r="I65" t="str">
            <v>1008 CMPHWR PC CASE-STD</v>
          </cell>
        </row>
        <row r="66">
          <cell r="I66" t="str">
            <v>1009 CMPHWR PC CASE-LTD</v>
          </cell>
        </row>
        <row r="67">
          <cell r="I67" t="str">
            <v>1010 CMPHWR PRINTER-STD</v>
          </cell>
        </row>
        <row r="68">
          <cell r="I68" t="str">
            <v>1011 CMPHWR PRINTER-LTD</v>
          </cell>
        </row>
        <row r="69">
          <cell r="I69" t="str">
            <v>1012 CMPHWR RNT/LEASE-LTD</v>
          </cell>
        </row>
        <row r="70">
          <cell r="I70" t="str">
            <v>1013 CMPHWR RESELLER-LTD</v>
          </cell>
        </row>
        <row r="71">
          <cell r="I71" t="str">
            <v>1014 CMPHWR SERVER-LTD</v>
          </cell>
        </row>
        <row r="72">
          <cell r="I72" t="str">
            <v>1015 CMPHWR STORAGE-LTD</v>
          </cell>
        </row>
        <row r="73">
          <cell r="I73" t="str">
            <v>1016 CMPHWR DESKTOP-LTD</v>
          </cell>
        </row>
        <row r="74">
          <cell r="I74" t="str">
            <v>1017 CMPHWR LAPTOP-LTD</v>
          </cell>
        </row>
        <row r="75">
          <cell r="I75" t="str">
            <v>1018 CMPHWR RNT/LEASE-STD</v>
          </cell>
        </row>
        <row r="76">
          <cell r="I76" t="str">
            <v>1019 CMPHWR DESKTOP-STD</v>
          </cell>
        </row>
        <row r="77">
          <cell r="I77" t="str">
            <v>1020 CMPHWR LAPTOP-STD</v>
          </cell>
        </row>
        <row r="78">
          <cell r="I78" t="str">
            <v>1021 CMPHWR RESELLER-STD</v>
          </cell>
        </row>
        <row r="79">
          <cell r="I79" t="str">
            <v>1022 CMPHWR SERVER-STD</v>
          </cell>
        </row>
        <row r="80">
          <cell r="I80" t="str">
            <v>1023 CMPHWR STORAGE-STD</v>
          </cell>
        </row>
        <row r="81">
          <cell r="I81" t="str">
            <v>2000 CMP SOFTWARE-LTD</v>
          </cell>
        </row>
        <row r="82">
          <cell r="I82" t="str">
            <v>2001 CMPSWR SERVICES-LTD</v>
          </cell>
        </row>
        <row r="83">
          <cell r="I83" t="str">
            <v>2002 CMP SOFTWARE-STD</v>
          </cell>
        </row>
        <row r="84">
          <cell r="I84" t="str">
            <v>2003 CMPSWR ALNCE UT-LTD</v>
          </cell>
        </row>
        <row r="85">
          <cell r="I85" t="str">
            <v>2004 CMPSWR PACKAGED-LTD</v>
          </cell>
        </row>
        <row r="86">
          <cell r="I86" t="str">
            <v>2005 CMPSWR SUPRT/MNT-LTD</v>
          </cell>
        </row>
        <row r="87">
          <cell r="I87" t="str">
            <v>2006 IT HOSTING-LTD</v>
          </cell>
        </row>
        <row r="88">
          <cell r="I88" t="str">
            <v>3000 TELECOMS-LTD</v>
          </cell>
        </row>
        <row r="89">
          <cell r="I89" t="str">
            <v>3002 TELCOM DATA SVC-LTD</v>
          </cell>
        </row>
        <row r="90">
          <cell r="I90" t="str">
            <v>3003 TELCOM HDWR/SFWR-LTD</v>
          </cell>
        </row>
        <row r="91">
          <cell r="I91" t="str">
            <v>3004 TELCOM LEASE/RNT-LTD</v>
          </cell>
        </row>
        <row r="92">
          <cell r="I92" t="str">
            <v>3005 TELCOM MAINT-LTD</v>
          </cell>
        </row>
        <row r="93">
          <cell r="I93" t="str">
            <v>3007 TELCOM MOBIL SVC-LTD</v>
          </cell>
        </row>
        <row r="94">
          <cell r="I94" t="str">
            <v>3008 TELCOM NETWORK-LTD</v>
          </cell>
        </row>
        <row r="95">
          <cell r="I95" t="str">
            <v>3010 TELCOM REMOTE-LTD</v>
          </cell>
        </row>
        <row r="96">
          <cell r="I96" t="str">
            <v>3011 TELCOM WIRING-LTD</v>
          </cell>
        </row>
        <row r="97">
          <cell r="I97" t="str">
            <v>3012 TELCOM HDWR/SFWR-STD</v>
          </cell>
        </row>
        <row r="98">
          <cell r="I98" t="str">
            <v>3013 TELECOMS-STD</v>
          </cell>
        </row>
        <row r="99">
          <cell r="I99" t="str">
            <v>4000 FACILITY SVCS-LTD</v>
          </cell>
        </row>
        <row r="100">
          <cell r="I100" t="str">
            <v>4001 FAC BLDG MAINT-LTD</v>
          </cell>
        </row>
        <row r="101">
          <cell r="I101" t="str">
            <v>4002 FAC CONSTRUCTION-LTD</v>
          </cell>
        </row>
        <row r="102">
          <cell r="I102" t="str">
            <v>4003 FAC DOC STORAGE-LTD</v>
          </cell>
        </row>
        <row r="103">
          <cell r="I103" t="str">
            <v>4004 FAC CONSULTING-LTD</v>
          </cell>
        </row>
        <row r="104">
          <cell r="I104" t="str">
            <v>4005 FAC FURN PURCH-LTD</v>
          </cell>
        </row>
        <row r="105">
          <cell r="I105" t="str">
            <v>4006 FAC FURN RENT-LTD</v>
          </cell>
        </row>
        <row r="106">
          <cell r="I106" t="str">
            <v>4007 RISK SERVICES-LTD</v>
          </cell>
        </row>
        <row r="107">
          <cell r="I107" t="str">
            <v>4008 FAC SECURITY-LTD</v>
          </cell>
        </row>
        <row r="108">
          <cell r="I108" t="str">
            <v>4009 FAC SUPLY NONCAP-LTD</v>
          </cell>
        </row>
        <row r="109">
          <cell r="I109" t="str">
            <v>4010 FAC VENDING-LTD</v>
          </cell>
        </row>
        <row r="110">
          <cell r="I110" t="str">
            <v>4011 FAC SUPLY NONCAP-STD</v>
          </cell>
        </row>
        <row r="111">
          <cell r="I111" t="str">
            <v>4012 FACILITY SVCS-STD</v>
          </cell>
        </row>
        <row r="112">
          <cell r="I112" t="str">
            <v>5001 CNTRACTR INDP-LTD</v>
          </cell>
        </row>
        <row r="113">
          <cell r="I113" t="str">
            <v>5002 CNTRACTR SOLUTN-LTD</v>
          </cell>
        </row>
        <row r="114">
          <cell r="I114" t="str">
            <v>5003 CNTRACTR TECH-LTD</v>
          </cell>
        </row>
        <row r="115">
          <cell r="I115" t="str">
            <v>5004 CNTRACTR ADMIN-LTD</v>
          </cell>
        </row>
        <row r="116">
          <cell r="I116" t="str">
            <v>5005 PROFSRVC ACTG-LTD</v>
          </cell>
        </row>
        <row r="117">
          <cell r="I117" t="str">
            <v>5006 PROFSRVC CONSULT-LTD</v>
          </cell>
        </row>
        <row r="118">
          <cell r="I118" t="str">
            <v>5007 PROFSRVC HR-LTD</v>
          </cell>
        </row>
        <row r="119">
          <cell r="I119" t="str">
            <v>5008 PROFSRVC LEGAL-LTD</v>
          </cell>
        </row>
        <row r="120">
          <cell r="I120" t="str">
            <v>5009 PROFSRVC MISC-LTD</v>
          </cell>
        </row>
        <row r="121">
          <cell r="I121" t="str">
            <v>5010 PROFSRVC TRNSLT-LTD</v>
          </cell>
        </row>
        <row r="122">
          <cell r="I122" t="str">
            <v>5011 AWF NONTECH-STD</v>
          </cell>
        </row>
        <row r="123">
          <cell r="I123" t="str">
            <v>5012 AWF TECHNICAL-STD</v>
          </cell>
        </row>
        <row r="124">
          <cell r="I124" t="str">
            <v>5013 CNTRACTR EXPENSE-STD</v>
          </cell>
        </row>
        <row r="125">
          <cell r="I125" t="str">
            <v>5014 CNTRACTR ADMIN-STD</v>
          </cell>
        </row>
        <row r="126">
          <cell r="I126" t="str">
            <v>5015 CNTRACTR SOLUTN-STD</v>
          </cell>
        </row>
        <row r="127">
          <cell r="I127" t="str">
            <v>5016 CNTRACTR TECH-STD</v>
          </cell>
        </row>
        <row r="128">
          <cell r="I128" t="str">
            <v>5017 CNTRACTR TELSRVC-LTD</v>
          </cell>
        </row>
        <row r="129">
          <cell r="I129" t="str">
            <v>5018 CNTRACTR TELSRVC-STD</v>
          </cell>
        </row>
      </sheetData>
      <sheetData sheetId="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ess Control List"/>
      <sheetName val="README"/>
      <sheetName val="WR"/>
      <sheetName val="CDART AM"/>
      <sheetName val="Workplan"/>
      <sheetName val="CDART AD"/>
      <sheetName val="Reference"/>
      <sheetName val="Revision History"/>
      <sheetName val="Ranges"/>
    </sheetNames>
    <sheetDataSet>
      <sheetData sheetId="0"/>
      <sheetData sheetId="1"/>
      <sheetData sheetId="2">
        <row r="3">
          <cell r="B3">
            <v>41497</v>
          </cell>
        </row>
        <row r="7">
          <cell r="L7">
            <v>1</v>
          </cell>
        </row>
        <row r="8">
          <cell r="L8">
            <v>2</v>
          </cell>
        </row>
        <row r="9">
          <cell r="L9">
            <v>4</v>
          </cell>
        </row>
        <row r="10">
          <cell r="L10">
            <v>8</v>
          </cell>
        </row>
        <row r="11">
          <cell r="L11">
            <v>10</v>
          </cell>
        </row>
      </sheetData>
      <sheetData sheetId="3"/>
      <sheetData sheetId="4"/>
      <sheetData sheetId="5"/>
      <sheetData sheetId="6">
        <row r="2">
          <cell r="F2" t="str">
            <v>Stage</v>
          </cell>
        </row>
        <row r="3">
          <cell r="B3" t="str">
            <v>Yes</v>
          </cell>
          <cell r="C3" t="str">
            <v>P1</v>
          </cell>
          <cell r="D3" t="str">
            <v>Incident Management</v>
          </cell>
          <cell r="F3" t="str">
            <v>Plan</v>
          </cell>
        </row>
        <row r="4">
          <cell r="B4" t="str">
            <v>No</v>
          </cell>
          <cell r="C4" t="str">
            <v>P2</v>
          </cell>
          <cell r="D4" t="str">
            <v>Problem Management</v>
          </cell>
          <cell r="F4" t="str">
            <v>Analyze</v>
          </cell>
        </row>
        <row r="5">
          <cell r="C5" t="str">
            <v>P3</v>
          </cell>
          <cell r="D5" t="str">
            <v>Work Request</v>
          </cell>
          <cell r="F5" t="str">
            <v>Design</v>
          </cell>
        </row>
        <row r="6">
          <cell r="C6" t="str">
            <v>P4</v>
          </cell>
          <cell r="F6" t="str">
            <v>Build</v>
          </cell>
        </row>
        <row r="7">
          <cell r="C7" t="str">
            <v>P5</v>
          </cell>
          <cell r="F7" t="str">
            <v>Test</v>
          </cell>
        </row>
        <row r="8">
          <cell r="F8" t="str">
            <v>Deploy</v>
          </cell>
        </row>
        <row r="9">
          <cell r="F9" t="str">
            <v>Application Management</v>
          </cell>
        </row>
        <row r="10">
          <cell r="F10" t="str">
            <v>Project Management</v>
          </cell>
        </row>
        <row r="11">
          <cell r="F11" t="str">
            <v>Quality Management System</v>
          </cell>
        </row>
        <row r="12">
          <cell r="F12" t="str">
            <v>External</v>
          </cell>
        </row>
        <row r="13">
          <cell r="F13" t="str">
            <v>End to End</v>
          </cell>
        </row>
      </sheetData>
      <sheetData sheetId="7"/>
      <sheetData sheetId="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Schedule"/>
      <sheetName val="Test Schedule &amp; Assignment"/>
      <sheetName val="Test Cycle Status"/>
      <sheetName val="xlat"/>
      <sheetName val="test2"/>
      <sheetName val="Document Control"/>
      <sheetName val="Read Me"/>
      <sheetName val="Code List"/>
      <sheetName val="Server Code Snippets"/>
      <sheetName val="WebComponents Code Snippets"/>
      <sheetName val="Backed Out Codes"/>
      <sheetName val="FD - TD Mapping"/>
      <sheetName val="Sheet2"/>
      <sheetName val="Reference"/>
      <sheetName val="WR"/>
      <sheetName val="Workplan"/>
      <sheetName val="Functional Area"/>
    </sheetNames>
    <sheetDataSet>
      <sheetData sheetId="0"/>
      <sheetData sheetId="1"/>
      <sheetData sheetId="2"/>
      <sheetData sheetId="3" refreshError="1">
        <row r="1">
          <cell r="A1" t="str">
            <v>X</v>
          </cell>
        </row>
        <row r="2">
          <cell r="A2" t="str">
            <v>Anna R</v>
          </cell>
        </row>
        <row r="3">
          <cell r="A3" t="str">
            <v>Joyce</v>
          </cell>
        </row>
        <row r="4">
          <cell r="A4" t="str">
            <v>Richard</v>
          </cell>
        </row>
      </sheetData>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793E6-2F22-4012-9C18-C0C8EF57635C}">
  <sheetPr codeName="Sheet5"/>
  <dimension ref="A1:CJ22"/>
  <sheetViews>
    <sheetView zoomScaleNormal="100" workbookViewId="0">
      <selection activeCell="G15" sqref="G15"/>
    </sheetView>
  </sheetViews>
  <sheetFormatPr defaultColWidth="8" defaultRowHeight="15.75"/>
  <cols>
    <col min="1" max="1" width="11.85546875" style="14" bestFit="1" customWidth="1"/>
    <col min="2" max="2" width="7.140625" style="41" customWidth="1"/>
    <col min="3" max="4" width="14" style="14" bestFit="1" customWidth="1"/>
    <col min="5" max="5" width="15.140625" style="14" bestFit="1" customWidth="1"/>
    <col min="6" max="6" width="21" style="42" bestFit="1" customWidth="1"/>
    <col min="7" max="7" width="11.7109375" style="14" customWidth="1"/>
    <col min="8" max="8" width="9.42578125" style="14" bestFit="1" customWidth="1"/>
    <col min="9" max="9" width="15.28515625" style="14" bestFit="1" customWidth="1"/>
    <col min="10" max="10" width="13.28515625" style="14" customWidth="1"/>
    <col min="11" max="11" width="14.140625" style="14" bestFit="1" customWidth="1"/>
    <col min="12" max="12" width="17" style="14" customWidth="1"/>
    <col min="13" max="13" width="11.85546875" style="14" customWidth="1"/>
    <col min="14" max="14" width="16.7109375" style="43" bestFit="1" customWidth="1"/>
    <col min="15" max="15" width="11.85546875" style="14" customWidth="1"/>
    <col min="16" max="16" width="16.28515625" style="14" bestFit="1" customWidth="1"/>
    <col min="17" max="17" width="19.85546875" style="44" customWidth="1"/>
    <col min="18" max="18" width="18.28515625" style="14" bestFit="1" customWidth="1"/>
    <col min="19" max="26" width="11.85546875" style="14" hidden="1" customWidth="1"/>
    <col min="27" max="27" width="14.5703125" style="14" customWidth="1"/>
    <col min="28" max="28" width="21.140625" style="14" customWidth="1"/>
    <col min="29" max="29" width="13.85546875" style="14" bestFit="1" customWidth="1"/>
    <col min="30" max="30" width="11.5703125" style="14" bestFit="1" customWidth="1"/>
    <col min="31" max="31" width="18.85546875" style="14" customWidth="1"/>
    <col min="32" max="32" width="13.42578125" style="14" customWidth="1"/>
    <col min="33" max="33" width="11.85546875" style="14" customWidth="1"/>
    <col min="34" max="35" width="11.85546875" style="14" hidden="1" customWidth="1"/>
    <col min="36" max="36" width="18.85546875" style="14" bestFit="1" customWidth="1"/>
    <col min="37" max="45" width="11.85546875" style="14" hidden="1" customWidth="1"/>
    <col min="46" max="46" width="19.42578125" style="14" bestFit="1" customWidth="1"/>
    <col min="47" max="47" width="24.140625" style="14" bestFit="1" customWidth="1"/>
    <col min="48" max="48" width="23.140625" style="39" bestFit="1" customWidth="1"/>
    <col min="49" max="49" width="30.7109375" style="39" bestFit="1" customWidth="1"/>
    <col min="50" max="51" width="15.85546875" style="40" customWidth="1"/>
    <col min="52" max="52" width="14" style="39" customWidth="1"/>
    <col min="53" max="53" width="15" style="61" bestFit="1" customWidth="1"/>
    <col min="54" max="54" width="17.85546875" style="14" bestFit="1" customWidth="1"/>
    <col min="55" max="55" width="19.7109375" style="14" customWidth="1"/>
    <col min="56" max="56" width="13.28515625" style="14" bestFit="1" customWidth="1"/>
    <col min="57" max="63" width="9.85546875" style="14" customWidth="1"/>
    <col min="64" max="64" width="13" style="14" customWidth="1"/>
    <col min="65" max="65" width="17.28515625" style="14" customWidth="1"/>
    <col min="66" max="66" width="41.7109375" style="14" bestFit="1" customWidth="1"/>
    <col min="67" max="67" width="15.42578125" style="14" bestFit="1" customWidth="1"/>
    <col min="68" max="68" width="13.140625" style="14" bestFit="1" customWidth="1"/>
    <col min="69" max="71" width="11.85546875" style="14" customWidth="1"/>
    <col min="72" max="72" width="13.140625" style="14" bestFit="1" customWidth="1"/>
    <col min="73" max="74" width="18.85546875" style="14" bestFit="1" customWidth="1"/>
    <col min="75" max="77" width="12.85546875" style="14" bestFit="1" customWidth="1"/>
    <col min="78" max="78" width="11.85546875" style="14" customWidth="1"/>
    <col min="79" max="79" width="13.5703125" style="14" bestFit="1" customWidth="1"/>
    <col min="80" max="80" width="13.85546875" style="14" customWidth="1"/>
    <col min="81" max="81" width="3.85546875" style="14" bestFit="1" customWidth="1"/>
    <col min="82" max="82" width="17.140625" style="14" customWidth="1"/>
    <col min="83" max="83" width="9.85546875" style="14" bestFit="1" customWidth="1"/>
    <col min="84" max="84" width="11.42578125" style="14" bestFit="1" customWidth="1"/>
    <col min="85" max="85" width="12.7109375" style="14" bestFit="1" customWidth="1"/>
    <col min="86" max="86" width="5.140625" style="14" bestFit="1" customWidth="1"/>
    <col min="87" max="87" width="15.5703125" style="14" bestFit="1" customWidth="1"/>
    <col min="88" max="16384" width="8" style="14"/>
  </cols>
  <sheetData>
    <row r="1" spans="1:88" ht="16.5" thickBot="1">
      <c r="A1" s="7" t="s">
        <v>0</v>
      </c>
      <c r="B1" s="91" t="s">
        <v>1</v>
      </c>
      <c r="C1" s="92"/>
      <c r="D1" s="92"/>
      <c r="E1" s="92"/>
      <c r="F1" s="92"/>
      <c r="G1" s="92"/>
      <c r="H1" s="92"/>
      <c r="I1" s="92"/>
      <c r="J1" s="92"/>
      <c r="K1" s="92"/>
      <c r="L1" s="92"/>
      <c r="M1" s="92"/>
      <c r="N1" s="92"/>
      <c r="O1" s="93"/>
      <c r="P1" s="94" t="s">
        <v>2</v>
      </c>
      <c r="Q1" s="95"/>
      <c r="R1" s="96"/>
      <c r="S1" s="8"/>
      <c r="T1" s="8"/>
      <c r="U1" s="8"/>
      <c r="V1" s="8"/>
      <c r="W1" s="8"/>
      <c r="X1" s="8"/>
      <c r="Y1" s="8"/>
      <c r="Z1" s="8"/>
      <c r="AA1" s="97" t="s">
        <v>3</v>
      </c>
      <c r="AB1" s="98"/>
      <c r="AC1" s="98"/>
      <c r="AD1" s="98"/>
      <c r="AE1" s="98"/>
      <c r="AF1" s="98"/>
      <c r="AG1" s="98"/>
      <c r="AH1" s="98"/>
      <c r="AI1" s="99"/>
      <c r="AJ1" s="100" t="s">
        <v>4</v>
      </c>
      <c r="AK1" s="101"/>
      <c r="AL1" s="101"/>
      <c r="AM1" s="101"/>
      <c r="AN1" s="101"/>
      <c r="AO1" s="101"/>
      <c r="AP1" s="101"/>
      <c r="AQ1" s="101"/>
      <c r="AR1" s="101"/>
      <c r="AS1" s="102"/>
      <c r="AT1" s="103" t="s">
        <v>5</v>
      </c>
      <c r="AU1" s="104"/>
      <c r="AV1" s="104"/>
      <c r="AW1" s="104"/>
      <c r="AX1" s="104"/>
      <c r="AY1" s="104"/>
      <c r="AZ1" s="104"/>
      <c r="BA1" s="104"/>
      <c r="BB1" s="104"/>
      <c r="BC1" s="104"/>
      <c r="BD1" s="104"/>
      <c r="BE1" s="104"/>
      <c r="BF1" s="104"/>
      <c r="BG1" s="104"/>
      <c r="BH1" s="104"/>
      <c r="BI1" s="104"/>
      <c r="BJ1" s="104"/>
      <c r="BK1" s="104"/>
      <c r="BL1" s="9"/>
      <c r="BM1" s="63" t="s">
        <v>6</v>
      </c>
      <c r="BN1" s="88" t="s">
        <v>7</v>
      </c>
      <c r="BO1" s="89"/>
      <c r="BP1" s="89"/>
      <c r="BQ1" s="89"/>
      <c r="BR1" s="89"/>
      <c r="BS1" s="89"/>
      <c r="BT1" s="89"/>
      <c r="BU1" s="89"/>
      <c r="BV1" s="89"/>
      <c r="BW1" s="89"/>
      <c r="BX1" s="89"/>
      <c r="BY1" s="89"/>
      <c r="BZ1" s="89"/>
      <c r="CA1" s="90"/>
      <c r="CB1" s="68" t="s">
        <v>8</v>
      </c>
      <c r="CC1" s="10"/>
      <c r="CD1" s="10"/>
      <c r="CE1" s="11" t="s">
        <v>9</v>
      </c>
      <c r="CF1" s="12" t="s">
        <v>10</v>
      </c>
      <c r="CG1" s="12" t="s">
        <v>11</v>
      </c>
      <c r="CH1" s="13"/>
      <c r="CI1" s="10" t="s">
        <v>12</v>
      </c>
      <c r="CJ1" s="10"/>
    </row>
    <row r="2" spans="1:88" s="36" customFormat="1" ht="16.5" thickBot="1">
      <c r="A2" s="15" t="s">
        <v>13</v>
      </c>
      <c r="B2" s="16" t="s">
        <v>14</v>
      </c>
      <c r="C2" s="17" t="s">
        <v>15</v>
      </c>
      <c r="D2" s="18" t="s">
        <v>16</v>
      </c>
      <c r="E2" s="17" t="s">
        <v>17</v>
      </c>
      <c r="F2" s="19" t="s">
        <v>18</v>
      </c>
      <c r="G2" s="20" t="s">
        <v>19</v>
      </c>
      <c r="H2" s="17" t="s">
        <v>20</v>
      </c>
      <c r="I2" s="18" t="s">
        <v>21</v>
      </c>
      <c r="J2" s="21" t="s">
        <v>22</v>
      </c>
      <c r="K2" s="22" t="s">
        <v>23</v>
      </c>
      <c r="L2" s="23" t="s">
        <v>24</v>
      </c>
      <c r="M2" s="24" t="s">
        <v>25</v>
      </c>
      <c r="N2" s="25" t="s">
        <v>26</v>
      </c>
      <c r="O2" s="26" t="s">
        <v>27</v>
      </c>
      <c r="P2" s="27" t="s">
        <v>28</v>
      </c>
      <c r="Q2" s="28" t="s">
        <v>29</v>
      </c>
      <c r="R2" s="22" t="s">
        <v>30</v>
      </c>
      <c r="S2" s="22" t="s">
        <v>27</v>
      </c>
      <c r="T2" s="22" t="s">
        <v>27</v>
      </c>
      <c r="U2" s="22" t="s">
        <v>27</v>
      </c>
      <c r="V2" s="22" t="s">
        <v>27</v>
      </c>
      <c r="W2" s="22" t="s">
        <v>27</v>
      </c>
      <c r="X2" s="22" t="s">
        <v>27</v>
      </c>
      <c r="Y2" s="22" t="s">
        <v>27</v>
      </c>
      <c r="Z2" s="22" t="s">
        <v>27</v>
      </c>
      <c r="AA2" s="22" t="s">
        <v>31</v>
      </c>
      <c r="AB2" s="22" t="s">
        <v>32</v>
      </c>
      <c r="AC2" s="22" t="s">
        <v>33</v>
      </c>
      <c r="AD2" s="22" t="s">
        <v>34</v>
      </c>
      <c r="AE2" s="22" t="s">
        <v>35</v>
      </c>
      <c r="AF2" s="22" t="s">
        <v>36</v>
      </c>
      <c r="AG2" s="22" t="s">
        <v>27</v>
      </c>
      <c r="AH2" s="22" t="s">
        <v>27</v>
      </c>
      <c r="AI2" s="22" t="s">
        <v>27</v>
      </c>
      <c r="AJ2" s="29" t="s">
        <v>37</v>
      </c>
      <c r="AK2" s="30" t="s">
        <v>27</v>
      </c>
      <c r="AL2" s="30" t="s">
        <v>27</v>
      </c>
      <c r="AM2" s="30" t="s">
        <v>27</v>
      </c>
      <c r="AN2" s="30" t="s">
        <v>27</v>
      </c>
      <c r="AO2" s="30" t="s">
        <v>27</v>
      </c>
      <c r="AP2" s="30" t="s">
        <v>27</v>
      </c>
      <c r="AQ2" s="30" t="s">
        <v>27</v>
      </c>
      <c r="AR2" s="30" t="s">
        <v>27</v>
      </c>
      <c r="AS2" s="30" t="s">
        <v>27</v>
      </c>
      <c r="AT2" s="17" t="s">
        <v>38</v>
      </c>
      <c r="AU2" s="17" t="s">
        <v>39</v>
      </c>
      <c r="AV2" s="18" t="s">
        <v>40</v>
      </c>
      <c r="AW2" s="18" t="s">
        <v>41</v>
      </c>
      <c r="AX2" s="18" t="s">
        <v>42</v>
      </c>
      <c r="AY2" s="18" t="s">
        <v>43</v>
      </c>
      <c r="AZ2" s="18" t="s">
        <v>44</v>
      </c>
      <c r="BA2" s="18" t="s">
        <v>45</v>
      </c>
      <c r="BB2" s="18" t="s">
        <v>46</v>
      </c>
      <c r="BC2" s="18" t="s">
        <v>24</v>
      </c>
      <c r="BD2" s="18" t="s">
        <v>27</v>
      </c>
      <c r="BE2" s="18" t="s">
        <v>27</v>
      </c>
      <c r="BF2" s="18" t="s">
        <v>27</v>
      </c>
      <c r="BG2" s="18" t="s">
        <v>27</v>
      </c>
      <c r="BH2" s="18" t="s">
        <v>27</v>
      </c>
      <c r="BI2" s="18" t="s">
        <v>27</v>
      </c>
      <c r="BJ2" s="18" t="s">
        <v>27</v>
      </c>
      <c r="BK2" s="18" t="s">
        <v>47</v>
      </c>
      <c r="BL2" s="18" t="s">
        <v>48</v>
      </c>
      <c r="BM2" s="31" t="s">
        <v>49</v>
      </c>
      <c r="BN2" s="64" t="s">
        <v>50</v>
      </c>
      <c r="BO2" s="64" t="s">
        <v>51</v>
      </c>
      <c r="BP2" s="64" t="s">
        <v>52</v>
      </c>
      <c r="BQ2" s="64" t="s">
        <v>53</v>
      </c>
      <c r="BR2" s="64" t="s">
        <v>54</v>
      </c>
      <c r="BS2" s="64" t="s">
        <v>55</v>
      </c>
      <c r="BT2" s="64" t="s">
        <v>56</v>
      </c>
      <c r="BU2" s="64" t="s">
        <v>57</v>
      </c>
      <c r="BV2" s="64" t="s">
        <v>58</v>
      </c>
      <c r="BW2" s="64" t="s">
        <v>59</v>
      </c>
      <c r="BX2" s="64" t="s">
        <v>60</v>
      </c>
      <c r="BY2" s="64" t="s">
        <v>61</v>
      </c>
      <c r="BZ2" s="64" t="s">
        <v>62</v>
      </c>
      <c r="CA2" s="67" t="s">
        <v>63</v>
      </c>
      <c r="CB2" s="69" t="s">
        <v>64</v>
      </c>
      <c r="CC2" s="32"/>
      <c r="CD2" s="32"/>
      <c r="CE2" s="33"/>
      <c r="CF2" s="34" t="s">
        <v>65</v>
      </c>
      <c r="CG2" s="34" t="s">
        <v>48</v>
      </c>
      <c r="CH2" s="35" t="s">
        <v>66</v>
      </c>
      <c r="CI2" s="32"/>
      <c r="CJ2" s="32"/>
    </row>
    <row r="3" spans="1:88" s="38" customFormat="1">
      <c r="A3" s="60"/>
      <c r="B3" s="60">
        <v>8101</v>
      </c>
      <c r="C3" s="60">
        <v>100059973</v>
      </c>
      <c r="D3" s="60" t="s">
        <v>67</v>
      </c>
      <c r="E3" s="60" t="s">
        <v>67</v>
      </c>
      <c r="F3" s="60" t="s">
        <v>68</v>
      </c>
      <c r="G3" s="60" t="s">
        <v>69</v>
      </c>
      <c r="H3" s="60" t="s">
        <v>70</v>
      </c>
      <c r="I3" s="60" t="s">
        <v>71</v>
      </c>
      <c r="J3" s="60"/>
      <c r="K3" s="60" t="s">
        <v>72</v>
      </c>
      <c r="L3" s="60"/>
      <c r="M3" s="60"/>
      <c r="N3" s="60" t="s">
        <v>73</v>
      </c>
      <c r="O3" s="60"/>
      <c r="P3" s="60" t="s">
        <v>67</v>
      </c>
      <c r="Q3" s="60" t="s">
        <v>74</v>
      </c>
      <c r="R3" s="60"/>
      <c r="S3" s="60"/>
      <c r="T3" s="60"/>
      <c r="U3" s="60"/>
      <c r="V3" s="60"/>
      <c r="W3" s="60"/>
      <c r="X3" s="60"/>
      <c r="Y3" s="60"/>
      <c r="Z3" s="60"/>
      <c r="AA3" s="60" t="s">
        <v>75</v>
      </c>
      <c r="AB3" s="60" t="s">
        <v>76</v>
      </c>
      <c r="AC3" s="60" t="s">
        <v>77</v>
      </c>
      <c r="AD3" s="60" t="s">
        <v>78</v>
      </c>
      <c r="AE3" s="60" t="s">
        <v>79</v>
      </c>
      <c r="AF3" s="60" t="s">
        <v>67</v>
      </c>
      <c r="AG3" s="60"/>
      <c r="AH3" s="60"/>
      <c r="AI3" s="60"/>
      <c r="AJ3" s="60" t="s">
        <v>80</v>
      </c>
      <c r="AK3" s="60"/>
      <c r="AL3" s="60"/>
      <c r="AM3" s="60"/>
      <c r="AN3" s="60"/>
      <c r="AO3" s="60"/>
      <c r="AP3" s="60"/>
      <c r="AQ3" s="60"/>
      <c r="AR3" s="60"/>
      <c r="AS3" s="60"/>
      <c r="AT3" s="60" t="s">
        <v>81</v>
      </c>
      <c r="AU3" s="60" t="s">
        <v>160</v>
      </c>
      <c r="AV3" s="60" t="s">
        <v>65</v>
      </c>
      <c r="AW3" s="60" t="s">
        <v>82</v>
      </c>
      <c r="AX3" s="60"/>
      <c r="AY3" s="60"/>
      <c r="AZ3" s="60" t="s">
        <v>161</v>
      </c>
      <c r="BA3" s="60" t="s">
        <v>69</v>
      </c>
      <c r="BB3" s="60"/>
      <c r="BC3" s="60" t="s">
        <v>159</v>
      </c>
      <c r="BD3" s="60"/>
      <c r="BE3" s="60"/>
      <c r="BF3" s="60"/>
      <c r="BG3" s="60"/>
      <c r="BH3" s="60"/>
      <c r="BI3" s="60"/>
      <c r="BJ3" s="60"/>
      <c r="BK3" s="60" t="s">
        <v>83</v>
      </c>
      <c r="BL3" s="60" t="s">
        <v>84</v>
      </c>
      <c r="BM3" s="60" t="s">
        <v>85</v>
      </c>
      <c r="BN3" s="60" t="s">
        <v>86</v>
      </c>
      <c r="BO3" s="60" t="s">
        <v>87</v>
      </c>
      <c r="BP3" s="60" t="s">
        <v>88</v>
      </c>
      <c r="BQ3" s="62" t="s">
        <v>89</v>
      </c>
      <c r="BR3" s="62" t="s">
        <v>90</v>
      </c>
      <c r="BS3" s="62" t="s">
        <v>91</v>
      </c>
      <c r="BT3" s="62" t="s">
        <v>92</v>
      </c>
      <c r="BU3" s="62" t="s">
        <v>93</v>
      </c>
      <c r="BV3" s="62" t="s">
        <v>93</v>
      </c>
      <c r="BW3" s="62" t="s">
        <v>93</v>
      </c>
      <c r="BX3" s="62"/>
      <c r="BY3" s="62">
        <v>9999999</v>
      </c>
      <c r="BZ3" s="62" t="s">
        <v>93</v>
      </c>
      <c r="CA3" s="62" t="s">
        <v>94</v>
      </c>
      <c r="CB3" s="37"/>
      <c r="CC3" s="37"/>
      <c r="CD3" s="37"/>
      <c r="CE3" s="37"/>
      <c r="CF3" s="37"/>
      <c r="CG3" s="37"/>
      <c r="CH3" s="37"/>
      <c r="CI3" s="37"/>
      <c r="CJ3" s="37"/>
    </row>
    <row r="4" spans="1:88">
      <c r="A4" s="60"/>
      <c r="B4" s="84">
        <v>8300</v>
      </c>
      <c r="C4" s="85">
        <v>100363301</v>
      </c>
      <c r="D4" s="5" t="s">
        <v>180</v>
      </c>
      <c r="E4" s="5" t="s">
        <v>180</v>
      </c>
      <c r="F4" t="s">
        <v>183</v>
      </c>
      <c r="G4" s="79" t="s">
        <v>69</v>
      </c>
      <c r="H4" s="79" t="s">
        <v>166</v>
      </c>
      <c r="I4" s="5" t="s">
        <v>167</v>
      </c>
      <c r="J4" s="14" t="s">
        <v>178</v>
      </c>
      <c r="M4" s="14" t="s">
        <v>179</v>
      </c>
      <c r="N4" s="80" t="s">
        <v>73</v>
      </c>
      <c r="P4" s="5" t="s">
        <v>180</v>
      </c>
      <c r="Q4"/>
      <c r="AB4" s="5" t="s">
        <v>176</v>
      </c>
      <c r="AJ4" s="81" t="s">
        <v>80</v>
      </c>
      <c r="AT4" s="82" t="s">
        <v>168</v>
      </c>
      <c r="AU4" s="5" t="s">
        <v>167</v>
      </c>
      <c r="AV4" s="82" t="s">
        <v>66</v>
      </c>
      <c r="AW4" s="83" t="s">
        <v>181</v>
      </c>
      <c r="BA4" s="79" t="s">
        <v>69</v>
      </c>
      <c r="BC4" s="14" t="s">
        <v>165</v>
      </c>
      <c r="BL4" s="79"/>
    </row>
    <row r="5" spans="1:88">
      <c r="A5" s="60"/>
      <c r="B5" s="84">
        <v>8300</v>
      </c>
      <c r="C5" s="85">
        <v>100363301</v>
      </c>
      <c r="D5" s="5" t="s">
        <v>180</v>
      </c>
      <c r="E5" s="5" t="s">
        <v>180</v>
      </c>
      <c r="F5" t="s">
        <v>184</v>
      </c>
      <c r="G5" s="79" t="s">
        <v>69</v>
      </c>
      <c r="H5" s="79" t="s">
        <v>166</v>
      </c>
      <c r="I5" s="5" t="s">
        <v>167</v>
      </c>
      <c r="J5" s="14" t="s">
        <v>178</v>
      </c>
      <c r="M5" s="14" t="s">
        <v>179</v>
      </c>
      <c r="N5" s="80" t="s">
        <v>73</v>
      </c>
      <c r="P5" s="5" t="s">
        <v>180</v>
      </c>
      <c r="Q5"/>
      <c r="AB5" s="5" t="s">
        <v>176</v>
      </c>
      <c r="AJ5" s="81" t="s">
        <v>80</v>
      </c>
      <c r="AT5" s="82" t="s">
        <v>168</v>
      </c>
      <c r="AU5" s="5" t="s">
        <v>167</v>
      </c>
      <c r="AV5" s="82" t="s">
        <v>66</v>
      </c>
      <c r="AW5" s="83" t="s">
        <v>181</v>
      </c>
      <c r="BA5" s="79" t="s">
        <v>69</v>
      </c>
      <c r="BC5" s="14" t="s">
        <v>165</v>
      </c>
      <c r="BL5" s="79"/>
    </row>
    <row r="6" spans="1:88">
      <c r="A6" s="60"/>
      <c r="B6" s="84">
        <v>8101</v>
      </c>
      <c r="C6" s="85">
        <v>100343833</v>
      </c>
      <c r="D6" s="5" t="s">
        <v>180</v>
      </c>
      <c r="E6" s="5" t="s">
        <v>180</v>
      </c>
      <c r="F6" t="s">
        <v>185</v>
      </c>
      <c r="G6" s="79" t="s">
        <v>69</v>
      </c>
      <c r="H6" s="79" t="s">
        <v>70</v>
      </c>
      <c r="I6" s="5" t="s">
        <v>173</v>
      </c>
      <c r="J6" s="14" t="s">
        <v>178</v>
      </c>
      <c r="K6" s="14" t="s">
        <v>162</v>
      </c>
      <c r="M6" s="14" t="s">
        <v>179</v>
      </c>
      <c r="N6" s="80" t="s">
        <v>73</v>
      </c>
      <c r="P6" s="5" t="s">
        <v>180</v>
      </c>
      <c r="Q6"/>
      <c r="AA6" s="14" t="s">
        <v>75</v>
      </c>
      <c r="AB6" s="5" t="s">
        <v>175</v>
      </c>
      <c r="AC6" s="14" t="s">
        <v>77</v>
      </c>
      <c r="AD6" s="14" t="s">
        <v>78</v>
      </c>
      <c r="AE6" s="14" t="s">
        <v>79</v>
      </c>
      <c r="AF6" s="5" t="s">
        <v>180</v>
      </c>
      <c r="AJ6" s="81" t="s">
        <v>80</v>
      </c>
      <c r="AT6" s="82" t="s">
        <v>81</v>
      </c>
      <c r="AU6" s="5" t="s">
        <v>173</v>
      </c>
      <c r="AV6" s="82" t="s">
        <v>66</v>
      </c>
      <c r="AW6" s="83" t="s">
        <v>174</v>
      </c>
      <c r="BA6" s="79" t="s">
        <v>69</v>
      </c>
      <c r="BC6" s="14" t="s">
        <v>165</v>
      </c>
      <c r="BK6" s="14" t="s">
        <v>83</v>
      </c>
      <c r="BL6" s="79"/>
    </row>
    <row r="7" spans="1:88">
      <c r="A7" s="60"/>
      <c r="B7" s="84">
        <v>8101</v>
      </c>
      <c r="C7" s="85">
        <v>100343833</v>
      </c>
      <c r="D7" s="5" t="s">
        <v>180</v>
      </c>
      <c r="E7" s="5" t="s">
        <v>180</v>
      </c>
      <c r="F7" t="s">
        <v>186</v>
      </c>
      <c r="G7" s="79" t="s">
        <v>69</v>
      </c>
      <c r="H7" s="79" t="s">
        <v>70</v>
      </c>
      <c r="I7" s="5" t="s">
        <v>173</v>
      </c>
      <c r="J7" s="14" t="s">
        <v>178</v>
      </c>
      <c r="K7" s="14" t="s">
        <v>162</v>
      </c>
      <c r="M7" s="14" t="s">
        <v>179</v>
      </c>
      <c r="N7" s="80" t="s">
        <v>73</v>
      </c>
      <c r="P7" s="5" t="s">
        <v>180</v>
      </c>
      <c r="Q7"/>
      <c r="AA7" s="14" t="s">
        <v>75</v>
      </c>
      <c r="AB7" s="5" t="s">
        <v>175</v>
      </c>
      <c r="AC7" s="14" t="s">
        <v>77</v>
      </c>
      <c r="AD7" s="14" t="s">
        <v>78</v>
      </c>
      <c r="AE7" s="14" t="s">
        <v>79</v>
      </c>
      <c r="AF7" s="5" t="s">
        <v>180</v>
      </c>
      <c r="AJ7" s="81" t="s">
        <v>80</v>
      </c>
      <c r="AT7" s="82" t="s">
        <v>81</v>
      </c>
      <c r="AU7" s="5" t="s">
        <v>173</v>
      </c>
      <c r="AV7" s="82" t="s">
        <v>66</v>
      </c>
      <c r="AW7" s="83" t="s">
        <v>174</v>
      </c>
      <c r="BA7" s="79" t="s">
        <v>69</v>
      </c>
      <c r="BC7" s="14" t="s">
        <v>165</v>
      </c>
      <c r="BK7" s="14" t="s">
        <v>83</v>
      </c>
      <c r="BL7" s="79"/>
    </row>
    <row r="8" spans="1:88">
      <c r="A8" s="60"/>
      <c r="B8" s="84">
        <v>8000</v>
      </c>
      <c r="C8" s="85">
        <v>100075858</v>
      </c>
      <c r="D8" s="5" t="s">
        <v>180</v>
      </c>
      <c r="E8" s="5" t="s">
        <v>180</v>
      </c>
      <c r="F8" t="s">
        <v>187</v>
      </c>
      <c r="G8" s="79" t="s">
        <v>69</v>
      </c>
      <c r="H8" s="79" t="s">
        <v>169</v>
      </c>
      <c r="I8" s="5" t="s">
        <v>170</v>
      </c>
      <c r="J8" s="14" t="s">
        <v>178</v>
      </c>
      <c r="M8" s="14" t="s">
        <v>179</v>
      </c>
      <c r="N8" s="80" t="s">
        <v>73</v>
      </c>
      <c r="P8" s="5" t="s">
        <v>180</v>
      </c>
      <c r="Q8"/>
      <c r="AB8" s="5" t="s">
        <v>172</v>
      </c>
      <c r="AJ8" s="81" t="s">
        <v>80</v>
      </c>
      <c r="AT8" s="82" t="s">
        <v>168</v>
      </c>
      <c r="AU8" s="5" t="s">
        <v>170</v>
      </c>
      <c r="AV8" s="82" t="s">
        <v>66</v>
      </c>
      <c r="AW8" s="83" t="s">
        <v>171</v>
      </c>
      <c r="BA8" s="79" t="s">
        <v>69</v>
      </c>
      <c r="BC8" s="14" t="s">
        <v>165</v>
      </c>
      <c r="BL8" s="79"/>
    </row>
    <row r="9" spans="1:88">
      <c r="A9" s="60"/>
      <c r="B9" s="84">
        <v>8000</v>
      </c>
      <c r="C9" s="85">
        <v>100075858</v>
      </c>
      <c r="D9" s="5" t="s">
        <v>180</v>
      </c>
      <c r="E9" s="5" t="s">
        <v>180</v>
      </c>
      <c r="F9" t="s">
        <v>188</v>
      </c>
      <c r="G9" s="79" t="s">
        <v>69</v>
      </c>
      <c r="H9" s="79" t="s">
        <v>169</v>
      </c>
      <c r="I9" s="5" t="s">
        <v>170</v>
      </c>
      <c r="J9" s="14" t="s">
        <v>178</v>
      </c>
      <c r="M9" s="14" t="s">
        <v>179</v>
      </c>
      <c r="N9" s="80" t="s">
        <v>73</v>
      </c>
      <c r="P9" s="5" t="s">
        <v>180</v>
      </c>
      <c r="Q9"/>
      <c r="AB9" s="5" t="s">
        <v>172</v>
      </c>
      <c r="AJ9" s="81" t="s">
        <v>80</v>
      </c>
      <c r="AT9" s="82" t="s">
        <v>168</v>
      </c>
      <c r="AU9" s="5" t="s">
        <v>170</v>
      </c>
      <c r="AV9" s="82" t="s">
        <v>66</v>
      </c>
      <c r="AW9" s="83" t="s">
        <v>171</v>
      </c>
      <c r="BA9" s="79" t="s">
        <v>69</v>
      </c>
      <c r="BC9" s="14" t="s">
        <v>165</v>
      </c>
      <c r="BL9" s="79"/>
    </row>
    <row r="11" spans="1:88">
      <c r="A11" s="60" t="s">
        <v>11</v>
      </c>
      <c r="B11" s="84">
        <v>8101</v>
      </c>
      <c r="C11" s="85">
        <v>100343833</v>
      </c>
      <c r="D11" s="5" t="s">
        <v>190</v>
      </c>
      <c r="E11" s="5" t="s">
        <v>190</v>
      </c>
      <c r="F11" t="s">
        <v>221</v>
      </c>
      <c r="G11" s="79" t="s">
        <v>69</v>
      </c>
      <c r="H11" s="79" t="s">
        <v>70</v>
      </c>
      <c r="I11" s="5">
        <v>1000</v>
      </c>
      <c r="J11" s="14" t="s">
        <v>178</v>
      </c>
      <c r="K11" s="14" t="s">
        <v>162</v>
      </c>
      <c r="M11" s="14" t="s">
        <v>179</v>
      </c>
      <c r="N11" s="80" t="s">
        <v>73</v>
      </c>
      <c r="P11" s="5" t="s">
        <v>190</v>
      </c>
      <c r="Q11"/>
      <c r="AA11" s="14" t="s">
        <v>75</v>
      </c>
      <c r="AB11" s="5" t="s">
        <v>191</v>
      </c>
      <c r="AC11" s="14" t="s">
        <v>77</v>
      </c>
      <c r="AD11" s="14" t="s">
        <v>78</v>
      </c>
      <c r="AE11" s="14" t="s">
        <v>79</v>
      </c>
      <c r="AF11" s="5" t="s">
        <v>190</v>
      </c>
      <c r="AJ11" s="81" t="s">
        <v>80</v>
      </c>
      <c r="AT11" s="82" t="s">
        <v>81</v>
      </c>
      <c r="AU11" s="5">
        <v>1000</v>
      </c>
      <c r="AV11" s="82" t="s">
        <v>66</v>
      </c>
      <c r="AW11" s="83" t="s">
        <v>174</v>
      </c>
      <c r="BA11" s="79" t="s">
        <v>69</v>
      </c>
      <c r="BC11" s="14" t="s">
        <v>165</v>
      </c>
      <c r="BK11" s="14" t="s">
        <v>83</v>
      </c>
      <c r="BL11" s="79"/>
    </row>
    <row r="12" spans="1:88">
      <c r="A12" s="60"/>
      <c r="B12" s="84">
        <v>8101</v>
      </c>
      <c r="C12" s="85">
        <v>100343833</v>
      </c>
      <c r="D12" s="5" t="s">
        <v>190</v>
      </c>
      <c r="E12" s="5" t="s">
        <v>190</v>
      </c>
      <c r="F12" t="s">
        <v>193</v>
      </c>
      <c r="G12" s="79" t="s">
        <v>69</v>
      </c>
      <c r="H12" s="79" t="s">
        <v>70</v>
      </c>
      <c r="I12" s="5">
        <v>1000</v>
      </c>
      <c r="J12" s="14" t="s">
        <v>178</v>
      </c>
      <c r="K12" s="14" t="s">
        <v>162</v>
      </c>
      <c r="M12" s="14" t="s">
        <v>179</v>
      </c>
      <c r="N12" s="80" t="s">
        <v>73</v>
      </c>
      <c r="P12" s="5" t="s">
        <v>190</v>
      </c>
      <c r="Q12"/>
      <c r="AA12" s="14" t="s">
        <v>75</v>
      </c>
      <c r="AB12" s="5" t="s">
        <v>191</v>
      </c>
      <c r="AC12" s="14" t="s">
        <v>77</v>
      </c>
      <c r="AD12" s="14" t="s">
        <v>78</v>
      </c>
      <c r="AE12" s="14" t="s">
        <v>79</v>
      </c>
      <c r="AF12" s="5" t="s">
        <v>190</v>
      </c>
      <c r="AJ12" s="81" t="s">
        <v>80</v>
      </c>
      <c r="AT12" s="82" t="s">
        <v>81</v>
      </c>
      <c r="AU12" s="5">
        <v>1000</v>
      </c>
      <c r="AV12" s="82" t="s">
        <v>66</v>
      </c>
      <c r="AW12" s="83" t="s">
        <v>174</v>
      </c>
      <c r="BA12" s="79" t="s">
        <v>69</v>
      </c>
      <c r="BC12" s="14" t="s">
        <v>165</v>
      </c>
      <c r="BK12" s="14" t="s">
        <v>83</v>
      </c>
      <c r="BL12" s="79"/>
    </row>
    <row r="13" spans="1:88">
      <c r="A13" s="60"/>
      <c r="B13" s="84">
        <v>8101</v>
      </c>
      <c r="C13" s="85">
        <v>100343833</v>
      </c>
      <c r="D13" s="5" t="s">
        <v>190</v>
      </c>
      <c r="E13" s="5" t="s">
        <v>190</v>
      </c>
      <c r="F13" t="s">
        <v>194</v>
      </c>
      <c r="G13" s="79" t="s">
        <v>69</v>
      </c>
      <c r="H13" s="79" t="s">
        <v>70</v>
      </c>
      <c r="I13" s="5">
        <v>1000</v>
      </c>
      <c r="J13" s="14" t="s">
        <v>178</v>
      </c>
      <c r="K13" s="14" t="s">
        <v>162</v>
      </c>
      <c r="M13" s="14" t="s">
        <v>179</v>
      </c>
      <c r="N13" s="80" t="s">
        <v>73</v>
      </c>
      <c r="P13" s="5" t="s">
        <v>190</v>
      </c>
      <c r="Q13"/>
      <c r="AA13" s="14" t="s">
        <v>75</v>
      </c>
      <c r="AB13" s="5" t="s">
        <v>191</v>
      </c>
      <c r="AC13" s="14" t="s">
        <v>77</v>
      </c>
      <c r="AD13" s="14" t="s">
        <v>78</v>
      </c>
      <c r="AE13" s="14" t="s">
        <v>79</v>
      </c>
      <c r="AF13" s="5" t="s">
        <v>190</v>
      </c>
      <c r="AJ13" s="81" t="s">
        <v>80</v>
      </c>
      <c r="AT13" s="82" t="s">
        <v>81</v>
      </c>
      <c r="AU13" s="5">
        <v>1000</v>
      </c>
      <c r="AV13" s="82" t="s">
        <v>66</v>
      </c>
      <c r="AW13" s="83" t="s">
        <v>174</v>
      </c>
      <c r="BA13" s="79" t="s">
        <v>69</v>
      </c>
      <c r="BC13" s="14" t="s">
        <v>165</v>
      </c>
      <c r="BK13" s="14" t="s">
        <v>83</v>
      </c>
      <c r="BL13" s="79"/>
    </row>
    <row r="16" spans="1:88">
      <c r="A16" s="60"/>
      <c r="B16" s="84">
        <v>8101</v>
      </c>
      <c r="C16" s="85">
        <v>100343833</v>
      </c>
      <c r="D16" s="5" t="s">
        <v>190</v>
      </c>
      <c r="E16" s="5" t="s">
        <v>196</v>
      </c>
      <c r="F16" t="s">
        <v>192</v>
      </c>
      <c r="G16" s="79" t="s">
        <v>69</v>
      </c>
      <c r="H16" s="79" t="s">
        <v>70</v>
      </c>
      <c r="I16" s="5">
        <v>1000</v>
      </c>
      <c r="J16" s="14" t="s">
        <v>178</v>
      </c>
      <c r="K16" s="14" t="s">
        <v>162</v>
      </c>
      <c r="M16" s="14" t="s">
        <v>179</v>
      </c>
      <c r="N16" s="80" t="s">
        <v>73</v>
      </c>
      <c r="P16" s="5" t="s">
        <v>190</v>
      </c>
      <c r="Q16"/>
      <c r="AA16" s="14" t="s">
        <v>75</v>
      </c>
      <c r="AB16" s="5" t="s">
        <v>191</v>
      </c>
      <c r="AC16" s="14" t="s">
        <v>77</v>
      </c>
      <c r="AD16" s="14" t="s">
        <v>78</v>
      </c>
      <c r="AE16" s="14" t="s">
        <v>79</v>
      </c>
      <c r="AF16" s="5" t="s">
        <v>190</v>
      </c>
      <c r="AJ16" s="81" t="s">
        <v>80</v>
      </c>
      <c r="AT16" s="82" t="s">
        <v>81</v>
      </c>
      <c r="AU16" s="5">
        <v>1000</v>
      </c>
      <c r="AV16" s="82" t="s">
        <v>66</v>
      </c>
      <c r="AW16" s="83" t="s">
        <v>174</v>
      </c>
      <c r="BA16" s="79" t="s">
        <v>69</v>
      </c>
      <c r="BC16" s="14" t="s">
        <v>165</v>
      </c>
      <c r="BK16" s="14" t="s">
        <v>83</v>
      </c>
      <c r="BL16" s="79"/>
    </row>
    <row r="18" spans="1:55">
      <c r="A18" s="60"/>
      <c r="B18" s="41" t="s">
        <v>197</v>
      </c>
      <c r="C18" s="14">
        <v>100075715</v>
      </c>
      <c r="D18" s="5" t="s">
        <v>198</v>
      </c>
      <c r="E18" s="5" t="s">
        <v>198</v>
      </c>
      <c r="F18" s="42" t="s">
        <v>199</v>
      </c>
      <c r="G18" s="79" t="s">
        <v>69</v>
      </c>
      <c r="H18" s="14" t="s">
        <v>204</v>
      </c>
      <c r="I18" s="14" t="s">
        <v>207</v>
      </c>
      <c r="J18" s="14" t="s">
        <v>178</v>
      </c>
      <c r="M18" s="14" t="s">
        <v>179</v>
      </c>
      <c r="N18" s="80" t="s">
        <v>73</v>
      </c>
      <c r="P18" s="5" t="s">
        <v>198</v>
      </c>
      <c r="AB18" s="14" t="s">
        <v>212</v>
      </c>
      <c r="AF18" s="5" t="s">
        <v>198</v>
      </c>
      <c r="AJ18" s="81" t="s">
        <v>80</v>
      </c>
      <c r="AT18" s="82" t="s">
        <v>81</v>
      </c>
      <c r="AU18" s="14" t="s">
        <v>207</v>
      </c>
      <c r="AV18" s="82" t="s">
        <v>66</v>
      </c>
      <c r="AW18" s="86" t="s">
        <v>217</v>
      </c>
      <c r="BA18" s="79" t="s">
        <v>69</v>
      </c>
      <c r="BC18" s="14" t="s">
        <v>165</v>
      </c>
    </row>
    <row r="19" spans="1:55">
      <c r="A19" s="60"/>
      <c r="B19" s="41">
        <v>7801</v>
      </c>
      <c r="C19" s="14">
        <v>100448812</v>
      </c>
      <c r="D19" s="5" t="s">
        <v>198</v>
      </c>
      <c r="E19" s="5" t="s">
        <v>198</v>
      </c>
      <c r="F19" s="42" t="s">
        <v>200</v>
      </c>
      <c r="G19" s="79" t="s">
        <v>69</v>
      </c>
      <c r="H19" s="14" t="s">
        <v>205</v>
      </c>
      <c r="I19" s="14" t="s">
        <v>208</v>
      </c>
      <c r="J19" s="14" t="s">
        <v>178</v>
      </c>
      <c r="M19" s="14" t="s">
        <v>179</v>
      </c>
      <c r="N19" s="80" t="s">
        <v>73</v>
      </c>
      <c r="P19" s="5" t="s">
        <v>198</v>
      </c>
      <c r="AB19" s="14" t="s">
        <v>213</v>
      </c>
      <c r="AF19" s="5" t="s">
        <v>198</v>
      </c>
      <c r="AJ19" s="81" t="s">
        <v>80</v>
      </c>
      <c r="AT19" s="82" t="s">
        <v>81</v>
      </c>
      <c r="AU19" s="14" t="s">
        <v>208</v>
      </c>
      <c r="AV19" s="82" t="s">
        <v>66</v>
      </c>
      <c r="AW19" s="87" t="s">
        <v>218</v>
      </c>
      <c r="BA19" s="79" t="s">
        <v>69</v>
      </c>
      <c r="BC19" s="14" t="s">
        <v>165</v>
      </c>
    </row>
    <row r="20" spans="1:55">
      <c r="A20" s="60"/>
      <c r="B20" s="41">
        <v>7801</v>
      </c>
      <c r="C20" s="14">
        <v>100448812</v>
      </c>
      <c r="D20" s="5" t="s">
        <v>198</v>
      </c>
      <c r="E20" s="5" t="s">
        <v>198</v>
      </c>
      <c r="F20" s="42" t="s">
        <v>201</v>
      </c>
      <c r="G20" s="79" t="s">
        <v>69</v>
      </c>
      <c r="H20" s="14" t="s">
        <v>205</v>
      </c>
      <c r="I20" s="14" t="s">
        <v>209</v>
      </c>
      <c r="J20" s="14" t="s">
        <v>178</v>
      </c>
      <c r="M20" s="14" t="s">
        <v>179</v>
      </c>
      <c r="N20" s="80" t="s">
        <v>73</v>
      </c>
      <c r="P20" s="5" t="s">
        <v>198</v>
      </c>
      <c r="AB20" s="14" t="s">
        <v>214</v>
      </c>
      <c r="AF20" s="5" t="s">
        <v>198</v>
      </c>
      <c r="AJ20" s="81" t="s">
        <v>80</v>
      </c>
      <c r="AT20" s="82" t="s">
        <v>81</v>
      </c>
      <c r="AU20" s="14" t="s">
        <v>209</v>
      </c>
      <c r="AV20" s="82" t="s">
        <v>66</v>
      </c>
      <c r="AW20" s="87" t="s">
        <v>218</v>
      </c>
      <c r="BA20" s="79" t="s">
        <v>69</v>
      </c>
      <c r="BC20" s="14" t="s">
        <v>165</v>
      </c>
    </row>
    <row r="21" spans="1:55">
      <c r="A21" s="60"/>
      <c r="B21" s="41">
        <v>7900</v>
      </c>
      <c r="C21" s="14" t="s">
        <v>219</v>
      </c>
      <c r="D21" s="5" t="s">
        <v>198</v>
      </c>
      <c r="E21" s="5" t="s">
        <v>198</v>
      </c>
      <c r="F21" s="42" t="s">
        <v>202</v>
      </c>
      <c r="G21" s="79" t="s">
        <v>69</v>
      </c>
      <c r="H21" s="14" t="s">
        <v>206</v>
      </c>
      <c r="I21" s="14" t="s">
        <v>210</v>
      </c>
      <c r="J21" s="14" t="s">
        <v>178</v>
      </c>
      <c r="M21" s="14" t="s">
        <v>179</v>
      </c>
      <c r="N21" s="80" t="s">
        <v>73</v>
      </c>
      <c r="P21" s="5" t="s">
        <v>198</v>
      </c>
      <c r="AB21" s="14" t="s">
        <v>215</v>
      </c>
      <c r="AF21" s="5" t="s">
        <v>198</v>
      </c>
      <c r="AJ21" s="81" t="s">
        <v>80</v>
      </c>
      <c r="AT21" s="82" t="s">
        <v>81</v>
      </c>
      <c r="AU21" s="14" t="s">
        <v>210</v>
      </c>
      <c r="AV21" s="82" t="s">
        <v>66</v>
      </c>
      <c r="AW21" s="87" t="s">
        <v>220</v>
      </c>
      <c r="BA21" s="79" t="s">
        <v>69</v>
      </c>
      <c r="BC21" s="14" t="s">
        <v>165</v>
      </c>
    </row>
    <row r="22" spans="1:55">
      <c r="A22" s="60"/>
      <c r="B22" s="41">
        <v>7900</v>
      </c>
      <c r="C22" s="14" t="s">
        <v>219</v>
      </c>
      <c r="D22" s="5" t="s">
        <v>198</v>
      </c>
      <c r="E22" s="5" t="s">
        <v>198</v>
      </c>
      <c r="F22" s="42" t="s">
        <v>203</v>
      </c>
      <c r="G22" s="79" t="s">
        <v>69</v>
      </c>
      <c r="H22" s="14" t="s">
        <v>206</v>
      </c>
      <c r="I22" s="14" t="s">
        <v>211</v>
      </c>
      <c r="J22" s="14" t="s">
        <v>178</v>
      </c>
      <c r="M22" s="14" t="s">
        <v>179</v>
      </c>
      <c r="N22" s="80" t="s">
        <v>73</v>
      </c>
      <c r="P22" s="5" t="s">
        <v>198</v>
      </c>
      <c r="AB22" s="14" t="s">
        <v>216</v>
      </c>
      <c r="AF22" s="5" t="s">
        <v>198</v>
      </c>
      <c r="AJ22" s="81" t="s">
        <v>80</v>
      </c>
      <c r="AT22" s="82" t="s">
        <v>81</v>
      </c>
      <c r="AU22" s="14" t="s">
        <v>211</v>
      </c>
      <c r="AV22" s="82" t="s">
        <v>66</v>
      </c>
      <c r="AW22" s="87" t="s">
        <v>220</v>
      </c>
      <c r="BA22" s="79" t="s">
        <v>69</v>
      </c>
      <c r="BC22" s="14" t="s">
        <v>165</v>
      </c>
    </row>
  </sheetData>
  <mergeCells count="6">
    <mergeCell ref="BN1:CA1"/>
    <mergeCell ref="B1:O1"/>
    <mergeCell ref="P1:R1"/>
    <mergeCell ref="AA1:AI1"/>
    <mergeCell ref="AJ1:AS1"/>
    <mergeCell ref="AT1:BK1"/>
  </mergeCells>
  <phoneticPr fontId="10" type="noConversion"/>
  <dataValidations xWindow="531" yWindow="393" count="22">
    <dataValidation type="textLength" allowBlank="1" showInputMessage="1" showErrorMessage="1" errorTitle="Max 20 characters" sqref="AE3:AI3" xr:uid="{BE7198D6-857E-43C2-B116-7CEC17128A70}">
      <formula1>0</formula1>
      <formula2>20</formula2>
    </dataValidation>
    <dataValidation type="textLength" allowBlank="1" showInputMessage="1" showErrorMessage="1" errorTitle="Invalid invocie reference number" error="Invoice reference number must be unique and between 4 and 16 characters" promptTitle="Enter invoice reference number" prompt="Input invoice reference number. It must be different than other records in the system for same vendor and invoice date" sqref="F1:F3 F10 F14:F15 F17:F1048576" xr:uid="{7D042D66-4D32-4BBF-A23A-2E5C409CD4D6}">
      <formula1>4</formula1>
      <formula2>16</formula2>
    </dataValidation>
    <dataValidation allowBlank="1" showInputMessage="1" showErrorMessage="1" promptTitle="Purchase amount" prompt="Must be * to calculate automatically or explicitly indicated, as long as the document balances" sqref="AU3" xr:uid="{6D46B835-19C0-4162-AE58-F42E08A52D01}"/>
    <dataValidation type="textLength" allowBlank="1" showInputMessage="1" showErrorMessage="1" promptTitle="Indicate payment method (forced)" prompt="If payment method must be automatically retrieved from vendor, do not populate. If indicated, it will be forced to this way of payment" sqref="Q3" xr:uid="{6A5E77D3-A14A-475A-9048-8F2A2660D55B}">
      <formula1>0</formula1>
      <formula2>1</formula2>
    </dataValidation>
    <dataValidation allowBlank="1" showInputMessage="1" showErrorMessage="1" errorTitle="Invalid date format" promptTitle="Invoice receipt date" prompt="Mandatory for India LBT._x000a_For india lbt, format is dd/mm/yyyy" sqref="AK3:AS3" xr:uid="{DD915920-59A1-4A36-BDE0-401E6B575B7F}"/>
    <dataValidation allowBlank="1" showInputMessage="1" showErrorMessage="1" sqref="AV1:AV2 AV4:AV1048576" xr:uid="{3D7A7E93-FDAC-432C-9B33-CA48DC9EC50C}"/>
    <dataValidation type="textLength" allowBlank="1" showInputMessage="1" showErrorMessage="1" errorTitle="Maximum 50 characters" sqref="O3 L3:M3 S3:Z3" xr:uid="{82A593A0-3765-487E-8635-6948DEF4DBE5}">
      <formula1>0</formula1>
      <formula2>50</formula2>
    </dataValidation>
    <dataValidation type="textLength" allowBlank="1" showInputMessage="1" showErrorMessage="1" errorTitle="Maximum 30 characters" promptTitle="For countries that use pm O-U-Y" prompt="it is sometimes called &quot;kid number&quot;" sqref="R3" xr:uid="{790638E6-752F-4C79-B790-1B304D4DCB6A}">
      <formula1>0</formula1>
      <formula2>30</formula2>
    </dataValidation>
    <dataValidation type="textLength" allowBlank="1" showInputMessage="1" showErrorMessage="1" promptTitle="Assignment field" prompt="Mandatory for India LBT." sqref="AA3" xr:uid="{3F464C73-FDEB-4FC7-98DF-9C840DE7685C}">
      <formula1>0</formula1>
      <formula2>18</formula2>
    </dataValidation>
    <dataValidation type="textLength" allowBlank="1" showInputMessage="1" showErrorMessage="1" errorTitle="invalid tax code lenght" promptTitle="Indicate tax code" prompt="Indicate X0 is no tax is required" sqref="G3" xr:uid="{AA3A433D-484E-4741-A28A-802290DC3EFC}">
      <formula1>2</formula1>
      <formula2>2</formula2>
    </dataValidation>
    <dataValidation type="textLength" allowBlank="1" showInputMessage="1" showErrorMessage="1" errorTitle="MAx 12 characters" promptTitle="Input Ref key 2" prompt="Text field._x000a_Currently mandatory for Indian Cocds with format_x000a_NL# or_x000a_Y/N + 4 digits for source location + 6 digits for date (ddmmyy)_x000a_example YMH00010114" sqref="AD3" xr:uid="{78A9746B-C1BD-4D91-930F-626CC1B64172}">
      <formula1>0</formula1>
      <formula2>12</formula2>
    </dataValidation>
    <dataValidation type="textLength" allowBlank="1" showInputMessage="1" showErrorMessage="1" errorTitle="Max 12 characters" promptTitle="Input Ref key 1 field" prompt="Mandatory for India LBT, up to 12 characters" sqref="AC3" xr:uid="{F607235C-651A-4369-906B-5620ECB7EFC3}">
      <formula1>0</formula1>
      <formula2>12</formula2>
    </dataValidation>
    <dataValidation type="textLength" allowBlank="1" showInputMessage="1" showErrorMessage="1" sqref="C3" xr:uid="{D369AE89-ACB6-4AF9-996B-EA651A17AEA0}">
      <formula1>8</formula1>
      <formula2>9</formula2>
    </dataValidation>
    <dataValidation type="textLength" allowBlank="1" showInputMessage="1" showErrorMessage="1" errorTitle="Invalid company code" error="Company code must be 4 digits" promptTitle="Indicate company code" prompt="Indicate company code (4 digits)" sqref="B3" xr:uid="{2A647D7D-BA54-448B-85C6-940EECEA398C}">
      <formula1>4</formula1>
      <formula2>4</formula2>
    </dataValidation>
    <dataValidation type="textLength" allowBlank="1" showInputMessage="1" showErrorMessage="1" errorTitle="Currency must have 3 characters" promptTitle="Indicate document currency" sqref="H3" xr:uid="{66395C04-BF3E-4AB0-B8F3-5DFADA5090C5}">
      <formula1>3</formula1>
      <formula2>3</formula2>
    </dataValidation>
    <dataValidation type="textLength" allowBlank="1" showInputMessage="1" showErrorMessage="1" errorTitle="Please enter requester" error="At least 4 characters. Maximum 25" promptTitle="Name of the requester" prompt="This field is important for invoice approval process. Also must be populated as if it is empty, the script will fail as it changes the position of the rows in SAP when it is not populated" sqref="AB3" xr:uid="{A2E84D52-FC47-420D-9CA2-BD1C82E5E5B2}">
      <formula1>4</formula1>
      <formula2>25</formula2>
    </dataValidation>
    <dataValidation type="list" allowBlank="1" showInputMessage="1" showErrorMessage="1" sqref="AV3" xr:uid="{48E42297-5C07-4418-A463-D166BAF64467}">
      <formula1>"WBS, Network, Cost Center, CostCollector-WBS, CostCollector-Network, Profit Center"</formula1>
    </dataValidation>
    <dataValidation type="textLength" allowBlank="1" showInputMessage="1" showErrorMessage="1" promptTitle="Purchase G/L account" prompt="Mandatory G/L account to post the expense" sqref="AT3:AT9 AT11:AT13 AT16 AT18:AT22" xr:uid="{D3CC6D99-7E97-4773-8A13-6637826BDE3E}">
      <formula1>6</formula1>
      <formula2>6</formula2>
    </dataValidation>
    <dataValidation type="list" allowBlank="1" showInputMessage="1" showErrorMessage="1" sqref="A3:A9 A11:A13 A16 A18:A22" xr:uid="{E62672D5-27BC-4414-B6B9-E9246850D1D2}">
      <formula1>$CF$1:$CG$1</formula1>
    </dataValidation>
    <dataValidation type="list" allowBlank="1" showInputMessage="1" showErrorMessage="1" errorTitle="Maximum 50 characters" sqref="N3:N9 N11:N13 N16 N18:N22" xr:uid="{52D9F30A-18FE-41A8-A784-5D93B3DB4673}">
      <formula1>"Invoice, Credit Memo"</formula1>
    </dataValidation>
    <dataValidation type="list" allowBlank="1" showInputMessage="1" showErrorMessage="1" sqref="N4:N9 N11:N13 N16 N18:N22" xr:uid="{6864F278-03B0-4A54-9EE9-F0B7A84A1010}">
      <formula1>"Invoice, Credit memo"</formula1>
    </dataValidation>
    <dataValidation type="textLength" operator="lessThanOrEqual" allowBlank="1" showInputMessage="1" showErrorMessage="1" errorTitle="Text Length Error" error="Text length should be equal to or less than 35." sqref="BN1:BN1048576" xr:uid="{4C0DE0CE-CEE6-4D05-9C77-4DDFD345FD31}">
      <formula1>35</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9AACD-A2BB-4296-A4A0-7069762755E8}">
  <sheetPr codeName="Sheet3"/>
  <dimension ref="A1:D51"/>
  <sheetViews>
    <sheetView workbookViewId="0">
      <selection activeCell="A38" sqref="A38:A51"/>
    </sheetView>
  </sheetViews>
  <sheetFormatPr defaultRowHeight="15"/>
  <cols>
    <col min="1" max="1" width="16.85546875" customWidth="1"/>
    <col min="2" max="2" width="9.140625" customWidth="1"/>
    <col min="4" max="4" width="68.140625" bestFit="1" customWidth="1"/>
  </cols>
  <sheetData>
    <row r="1" spans="1:4">
      <c r="A1" s="6" t="s">
        <v>95</v>
      </c>
      <c r="B1">
        <v>1</v>
      </c>
      <c r="C1" t="str">
        <f t="shared" ref="C1:C51" si="0">"Sheet1"</f>
        <v>Sheet1</v>
      </c>
      <c r="D1" t="str">
        <f t="shared" ref="D1:D51" si="1">A1&amp;" = ThisWorkbook.Sheets(" &amp;  C1 &amp; ").Cells(iRow, " &amp; B1 &amp; ").Value"</f>
        <v>Tcode = ThisWorkbook.Sheets(Sheet1).Cells(iRow, 1).Value</v>
      </c>
    </row>
    <row r="2" spans="1:4">
      <c r="A2" t="s">
        <v>96</v>
      </c>
      <c r="B2">
        <v>2</v>
      </c>
      <c r="C2" t="str">
        <f t="shared" si="0"/>
        <v>Sheet1</v>
      </c>
      <c r="D2" t="str">
        <f t="shared" si="1"/>
        <v>CompCode = ThisWorkbook.Sheets(Sheet1).Cells(iRow, 2).Value</v>
      </c>
    </row>
    <row r="3" spans="1:4">
      <c r="A3" t="s">
        <v>97</v>
      </c>
      <c r="B3">
        <v>3</v>
      </c>
      <c r="C3" t="str">
        <f t="shared" si="0"/>
        <v>Sheet1</v>
      </c>
      <c r="D3" t="str">
        <f t="shared" si="1"/>
        <v>VendorID = ThisWorkbook.Sheets(Sheet1).Cells(iRow, 3).Value</v>
      </c>
    </row>
    <row r="4" spans="1:4">
      <c r="A4" t="s">
        <v>98</v>
      </c>
      <c r="B4">
        <v>4</v>
      </c>
      <c r="C4" t="str">
        <f t="shared" si="0"/>
        <v>Sheet1</v>
      </c>
      <c r="D4" t="str">
        <f t="shared" si="1"/>
        <v>InvoiceDate = ThisWorkbook.Sheets(Sheet1).Cells(iRow, 4).Value</v>
      </c>
    </row>
    <row r="5" spans="1:4">
      <c r="A5" t="s">
        <v>99</v>
      </c>
      <c r="B5">
        <v>5</v>
      </c>
      <c r="C5" t="str">
        <f t="shared" si="0"/>
        <v>Sheet1</v>
      </c>
      <c r="D5" t="str">
        <f t="shared" si="1"/>
        <v>PostingDate = ThisWorkbook.Sheets(Sheet1).Cells(iRow, 5).Value</v>
      </c>
    </row>
    <row r="6" spans="1:4">
      <c r="A6" t="s">
        <v>100</v>
      </c>
      <c r="B6">
        <v>6</v>
      </c>
      <c r="C6" t="str">
        <f t="shared" si="0"/>
        <v>Sheet1</v>
      </c>
      <c r="D6" t="str">
        <f t="shared" si="1"/>
        <v>InvoiceReference = ThisWorkbook.Sheets(Sheet1).Cells(iRow, 6).Value</v>
      </c>
    </row>
    <row r="7" spans="1:4">
      <c r="A7" t="s">
        <v>101</v>
      </c>
      <c r="B7">
        <v>7</v>
      </c>
      <c r="C7" t="str">
        <f t="shared" si="0"/>
        <v>Sheet1</v>
      </c>
      <c r="D7" t="str">
        <f t="shared" si="1"/>
        <v>TaxCode = ThisWorkbook.Sheets(Sheet1).Cells(iRow, 7).Value</v>
      </c>
    </row>
    <row r="8" spans="1:4">
      <c r="A8" t="s">
        <v>102</v>
      </c>
      <c r="B8">
        <v>8</v>
      </c>
      <c r="C8" t="str">
        <f t="shared" si="0"/>
        <v>Sheet1</v>
      </c>
      <c r="D8" t="str">
        <f t="shared" si="1"/>
        <v>Currcy = ThisWorkbook.Sheets(Sheet1).Cells(iRow, 8).Value</v>
      </c>
    </row>
    <row r="9" spans="1:4">
      <c r="A9" t="s">
        <v>103</v>
      </c>
      <c r="B9">
        <v>9</v>
      </c>
      <c r="C9" t="str">
        <f t="shared" si="0"/>
        <v>Sheet1</v>
      </c>
      <c r="D9" t="str">
        <f t="shared" si="1"/>
        <v>InvoiceAmount = ThisWorkbook.Sheets(Sheet1).Cells(iRow, 9).Value</v>
      </c>
    </row>
    <row r="10" spans="1:4">
      <c r="A10" t="s">
        <v>104</v>
      </c>
      <c r="B10">
        <v>10</v>
      </c>
      <c r="C10" t="str">
        <f t="shared" si="0"/>
        <v>Sheet1</v>
      </c>
      <c r="D10" t="str">
        <f t="shared" si="1"/>
        <v>TaxAmount = ThisWorkbook.Sheets(Sheet1).Cells(iRow, 10).Value</v>
      </c>
    </row>
    <row r="11" spans="1:4">
      <c r="A11" t="s">
        <v>105</v>
      </c>
      <c r="B11">
        <v>11</v>
      </c>
      <c r="C11" t="str">
        <f t="shared" si="0"/>
        <v>Sheet1</v>
      </c>
      <c r="D11" t="str">
        <f t="shared" si="1"/>
        <v>BusinessPlace = ThisWorkbook.Sheets(Sheet1).Cells(iRow, 11).Value</v>
      </c>
    </row>
    <row r="12" spans="1:4">
      <c r="A12" t="s">
        <v>106</v>
      </c>
      <c r="B12">
        <v>12</v>
      </c>
      <c r="C12" t="str">
        <f t="shared" si="0"/>
        <v>Sheet1</v>
      </c>
      <c r="D12" t="str">
        <f t="shared" si="1"/>
        <v>ItemText = ThisWorkbook.Sheets(Sheet1).Cells(iRow, 12).Value</v>
      </c>
    </row>
    <row r="13" spans="1:4">
      <c r="A13" t="s">
        <v>107</v>
      </c>
      <c r="B13">
        <v>13</v>
      </c>
      <c r="C13" t="str">
        <f t="shared" si="0"/>
        <v>Sheet1</v>
      </c>
      <c r="D13" t="str">
        <f t="shared" si="1"/>
        <v>DocType = ThisWorkbook.Sheets(Sheet1).Cells(iRow, 13).Value</v>
      </c>
    </row>
    <row r="14" spans="1:4">
      <c r="A14" t="s">
        <v>108</v>
      </c>
      <c r="B14">
        <v>14</v>
      </c>
      <c r="C14" t="str">
        <f t="shared" si="0"/>
        <v>Sheet1</v>
      </c>
      <c r="D14" t="str">
        <f t="shared" si="1"/>
        <v>ISR = ThisWorkbook.Sheets(Sheet1).Cells(iRow, 14).Value</v>
      </c>
    </row>
    <row r="15" spans="1:4">
      <c r="A15" t="s">
        <v>109</v>
      </c>
      <c r="B15">
        <v>16</v>
      </c>
      <c r="C15" t="str">
        <f t="shared" si="0"/>
        <v>Sheet1</v>
      </c>
      <c r="D15" t="str">
        <f t="shared" si="1"/>
        <v>PmtBaselineDate = ThisWorkbook.Sheets(Sheet1).Cells(iRow, 16).Value</v>
      </c>
    </row>
    <row r="16" spans="1:4">
      <c r="A16" t="s">
        <v>110</v>
      </c>
      <c r="B16">
        <v>27</v>
      </c>
      <c r="C16" t="str">
        <f t="shared" si="0"/>
        <v>Sheet1</v>
      </c>
      <c r="D16" t="str">
        <f t="shared" si="1"/>
        <v>PmtMethod = ThisWorkbook.Sheets(Sheet1).Cells(iRow, 27).Value</v>
      </c>
    </row>
    <row r="17" spans="1:4">
      <c r="A17" t="s">
        <v>111</v>
      </c>
      <c r="B17">
        <v>28</v>
      </c>
      <c r="C17" t="str">
        <f t="shared" si="0"/>
        <v>Sheet1</v>
      </c>
      <c r="D17" t="str">
        <f t="shared" si="1"/>
        <v>PaymentReference = ThisWorkbook.Sheets(Sheet1).Cells(iRow, 28).Value</v>
      </c>
    </row>
    <row r="18" spans="1:4">
      <c r="A18" t="s">
        <v>112</v>
      </c>
      <c r="B18">
        <v>29</v>
      </c>
      <c r="C18" t="str">
        <f t="shared" si="0"/>
        <v>Sheet1</v>
      </c>
      <c r="D18" t="str">
        <f t="shared" si="1"/>
        <v>Assignment = ThisWorkbook.Sheets(Sheet1).Cells(iRow, 29).Value</v>
      </c>
    </row>
    <row r="19" spans="1:4">
      <c r="A19" t="s">
        <v>113</v>
      </c>
      <c r="B19">
        <v>30</v>
      </c>
      <c r="C19" t="str">
        <f t="shared" si="0"/>
        <v>Sheet1</v>
      </c>
      <c r="D19" t="str">
        <f t="shared" si="1"/>
        <v>HeaderText = ThisWorkbook.Sheets(Sheet1).Cells(iRow, 30).Value</v>
      </c>
    </row>
    <row r="20" spans="1:4">
      <c r="A20" t="s">
        <v>114</v>
      </c>
      <c r="B20">
        <v>31</v>
      </c>
      <c r="C20" t="str">
        <f t="shared" si="0"/>
        <v>Sheet1</v>
      </c>
      <c r="D20" t="str">
        <f t="shared" si="1"/>
        <v>RefKey_1 = ThisWorkbook.Sheets(Sheet1).Cells(iRow, 31).Value</v>
      </c>
    </row>
    <row r="21" spans="1:4">
      <c r="A21" t="s">
        <v>115</v>
      </c>
      <c r="B21">
        <v>32</v>
      </c>
      <c r="C21" t="str">
        <f t="shared" si="0"/>
        <v>Sheet1</v>
      </c>
      <c r="D21" t="str">
        <f t="shared" si="1"/>
        <v>RefKey_2 = ThisWorkbook.Sheets(Sheet1).Cells(iRow, 32).Value</v>
      </c>
    </row>
    <row r="22" spans="1:4">
      <c r="A22" t="s">
        <v>116</v>
      </c>
      <c r="B22">
        <v>36</v>
      </c>
      <c r="C22" t="str">
        <f t="shared" si="0"/>
        <v>Sheet1</v>
      </c>
      <c r="D22" t="str">
        <f t="shared" si="1"/>
        <v>RefKey_3 = ThisWorkbook.Sheets(Sheet1).Cells(iRow, 36).Value</v>
      </c>
    </row>
    <row r="23" spans="1:4">
      <c r="A23" t="s">
        <v>117</v>
      </c>
      <c r="B23">
        <v>46</v>
      </c>
      <c r="C23" t="str">
        <f t="shared" si="0"/>
        <v>Sheet1</v>
      </c>
      <c r="D23" t="str">
        <f t="shared" si="1"/>
        <v>ReceivedDate = ThisWorkbook.Sheets(Sheet1).Cells(iRow, 46).Value</v>
      </c>
    </row>
    <row r="24" spans="1:4">
      <c r="A24" t="s">
        <v>118</v>
      </c>
      <c r="B24">
        <v>47</v>
      </c>
      <c r="C24" t="str">
        <f t="shared" si="0"/>
        <v>Sheet1</v>
      </c>
      <c r="D24" t="str">
        <f t="shared" si="1"/>
        <v>LineItemNumber = ThisWorkbook.Sheets(Sheet1).Cells(iRow, 47).Value</v>
      </c>
    </row>
    <row r="25" spans="1:4">
      <c r="A25" t="s">
        <v>119</v>
      </c>
      <c r="B25">
        <v>48</v>
      </c>
      <c r="C25" t="str">
        <f t="shared" si="0"/>
        <v>Sheet1</v>
      </c>
      <c r="D25" t="str">
        <f t="shared" si="1"/>
        <v>GLAccount = ThisWorkbook.Sheets(Sheet1).Cells(iRow, 48).Value</v>
      </c>
    </row>
    <row r="26" spans="1:4">
      <c r="A26" t="s">
        <v>120</v>
      </c>
      <c r="B26">
        <v>49</v>
      </c>
      <c r="C26" t="str">
        <f t="shared" si="0"/>
        <v>Sheet1</v>
      </c>
      <c r="D26" t="str">
        <f t="shared" si="1"/>
        <v>ItemAmount = ThisWorkbook.Sheets(Sheet1).Cells(iRow, 49).Value</v>
      </c>
    </row>
    <row r="27" spans="1:4">
      <c r="A27" t="s">
        <v>121</v>
      </c>
      <c r="B27">
        <v>50</v>
      </c>
      <c r="C27" t="str">
        <f t="shared" si="0"/>
        <v>Sheet1</v>
      </c>
      <c r="D27" t="str">
        <f t="shared" si="1"/>
        <v>CostObjectType = ThisWorkbook.Sheets(Sheet1).Cells(iRow, 50).Value</v>
      </c>
    </row>
    <row r="28" spans="1:4">
      <c r="A28" t="s">
        <v>122</v>
      </c>
      <c r="B28">
        <v>51</v>
      </c>
      <c r="C28" t="str">
        <f t="shared" si="0"/>
        <v>Sheet1</v>
      </c>
      <c r="D28" t="str">
        <f t="shared" si="1"/>
        <v>CostObject = ThisWorkbook.Sheets(Sheet1).Cells(iRow, 51).Value</v>
      </c>
    </row>
    <row r="29" spans="1:4">
      <c r="A29" t="s">
        <v>123</v>
      </c>
      <c r="B29">
        <v>52</v>
      </c>
      <c r="C29" t="str">
        <f t="shared" si="0"/>
        <v>Sheet1</v>
      </c>
      <c r="D29" t="str">
        <f t="shared" si="1"/>
        <v>CostCollector = ThisWorkbook.Sheets(Sheet1).Cells(iRow, 52).Value</v>
      </c>
    </row>
    <row r="30" spans="1:4">
      <c r="A30" t="s">
        <v>124</v>
      </c>
      <c r="B30">
        <v>53</v>
      </c>
      <c r="C30" t="str">
        <f t="shared" si="0"/>
        <v>Sheet1</v>
      </c>
      <c r="D30" t="str">
        <f t="shared" si="1"/>
        <v>JurisdictionCode = ThisWorkbook.Sheets(Sheet1).Cells(iRow, 53).Value</v>
      </c>
    </row>
    <row r="31" spans="1:4">
      <c r="A31" t="s">
        <v>125</v>
      </c>
      <c r="B31">
        <v>54</v>
      </c>
      <c r="C31" t="str">
        <f t="shared" si="0"/>
        <v>Sheet1</v>
      </c>
      <c r="D31" t="str">
        <f t="shared" si="1"/>
        <v>CrossCC = ThisWorkbook.Sheets(Sheet1).Cells(iRow, 54).Value</v>
      </c>
    </row>
    <row r="32" spans="1:4">
      <c r="A32" t="s">
        <v>126</v>
      </c>
      <c r="B32">
        <v>55</v>
      </c>
      <c r="C32" t="str">
        <f t="shared" si="0"/>
        <v>Sheet1</v>
      </c>
      <c r="D32" t="str">
        <f t="shared" si="1"/>
        <v>CostObjectNumber = ThisWorkbook.Sheets(Sheet1).Cells(iRow, 55).Value</v>
      </c>
    </row>
    <row r="33" spans="1:4">
      <c r="A33" t="s">
        <v>127</v>
      </c>
      <c r="B33">
        <v>63</v>
      </c>
      <c r="C33" t="str">
        <f t="shared" si="0"/>
        <v>Sheet1</v>
      </c>
      <c r="D33" t="str">
        <f t="shared" si="1"/>
        <v>CostObject2 = ThisWorkbook.Sheets(Sheet1).Cells(iRow, 63).Value</v>
      </c>
    </row>
    <row r="34" spans="1:4">
      <c r="A34" t="s">
        <v>128</v>
      </c>
      <c r="B34">
        <v>64</v>
      </c>
      <c r="C34" t="str">
        <f t="shared" si="0"/>
        <v>Sheet1</v>
      </c>
      <c r="D34" t="str">
        <f t="shared" si="1"/>
        <v>CostObject3 = ThisWorkbook.Sheets(Sheet1).Cells(iRow, 64).Value</v>
      </c>
    </row>
    <row r="35" spans="1:4">
      <c r="A35" t="s">
        <v>129</v>
      </c>
      <c r="B35">
        <v>65</v>
      </c>
      <c r="C35" t="str">
        <f t="shared" si="0"/>
        <v>Sheet1</v>
      </c>
      <c r="D35" t="str">
        <f t="shared" si="1"/>
        <v>HSN = ThisWorkbook.Sheets(Sheet1).Cells(iRow, 65).Value</v>
      </c>
    </row>
    <row r="36" spans="1:4">
      <c r="A36" t="s">
        <v>130</v>
      </c>
      <c r="B36">
        <v>63</v>
      </c>
      <c r="C36" t="str">
        <f t="shared" si="0"/>
        <v>Sheet1</v>
      </c>
      <c r="D36" t="str">
        <f t="shared" si="1"/>
        <v>ProfitCenter = ThisWorkbook.Sheets(Sheet1).Cells(iRow, 63).Value</v>
      </c>
    </row>
    <row r="37" spans="1:4">
      <c r="A37" t="s">
        <v>131</v>
      </c>
      <c r="B37">
        <v>65</v>
      </c>
      <c r="C37" t="str">
        <f t="shared" si="0"/>
        <v>Sheet1</v>
      </c>
      <c r="D37" t="str">
        <f t="shared" si="1"/>
        <v>TestType = ThisWorkbook.Sheets(Sheet1).Cells(iRow, 65).Value</v>
      </c>
    </row>
    <row r="38" spans="1:4">
      <c r="A38" t="s">
        <v>50</v>
      </c>
      <c r="B38">
        <v>66</v>
      </c>
      <c r="C38" t="str">
        <f t="shared" si="0"/>
        <v>Sheet1</v>
      </c>
      <c r="D38" t="str">
        <f t="shared" si="1"/>
        <v>VendorName = ThisWorkbook.Sheets(Sheet1).Cells(iRow, 66).Value</v>
      </c>
    </row>
    <row r="39" spans="1:4">
      <c r="A39" t="s">
        <v>51</v>
      </c>
      <c r="B39">
        <v>67</v>
      </c>
      <c r="C39" t="str">
        <f t="shared" si="0"/>
        <v>Sheet1</v>
      </c>
      <c r="D39" t="str">
        <f t="shared" si="1"/>
        <v>VendorStreet = ThisWorkbook.Sheets(Sheet1).Cells(iRow, 67).Value</v>
      </c>
    </row>
    <row r="40" spans="1:4">
      <c r="A40" t="s">
        <v>52</v>
      </c>
      <c r="B40">
        <v>68</v>
      </c>
      <c r="C40" t="str">
        <f t="shared" si="0"/>
        <v>Sheet1</v>
      </c>
      <c r="D40" t="str">
        <f t="shared" si="1"/>
        <v>City = ThisWorkbook.Sheets(Sheet1).Cells(iRow, 68).Value</v>
      </c>
    </row>
    <row r="41" spans="1:4">
      <c r="A41" t="s">
        <v>53</v>
      </c>
      <c r="B41">
        <v>69</v>
      </c>
      <c r="C41" t="str">
        <f t="shared" si="0"/>
        <v>Sheet1</v>
      </c>
      <c r="D41" t="str">
        <f t="shared" si="1"/>
        <v>PostalCode = ThisWorkbook.Sheets(Sheet1).Cells(iRow, 69).Value</v>
      </c>
    </row>
    <row r="42" spans="1:4">
      <c r="A42" t="s">
        <v>54</v>
      </c>
      <c r="B42">
        <v>70</v>
      </c>
      <c r="C42" t="str">
        <f t="shared" si="0"/>
        <v>Sheet1</v>
      </c>
      <c r="D42" t="str">
        <f t="shared" si="1"/>
        <v>Region = ThisWorkbook.Sheets(Sheet1).Cells(iRow, 70).Value</v>
      </c>
    </row>
    <row r="43" spans="1:4">
      <c r="A43" t="s">
        <v>55</v>
      </c>
      <c r="B43">
        <v>71</v>
      </c>
      <c r="C43" t="str">
        <f t="shared" si="0"/>
        <v>Sheet1</v>
      </c>
      <c r="D43" t="str">
        <f t="shared" si="1"/>
        <v>BankKey = ThisWorkbook.Sheets(Sheet1).Cells(iRow, 71).Value</v>
      </c>
    </row>
    <row r="44" spans="1:4">
      <c r="A44" t="s">
        <v>56</v>
      </c>
      <c r="B44">
        <v>72</v>
      </c>
      <c r="C44" t="str">
        <f t="shared" si="0"/>
        <v>Sheet1</v>
      </c>
      <c r="D44" t="str">
        <f t="shared" si="1"/>
        <v>BankAccount = ThisWorkbook.Sheets(Sheet1).Cells(iRow, 72).Value</v>
      </c>
    </row>
    <row r="45" spans="1:4">
      <c r="A45" t="s">
        <v>132</v>
      </c>
      <c r="B45">
        <v>73</v>
      </c>
      <c r="C45" t="str">
        <f t="shared" si="0"/>
        <v>Sheet1</v>
      </c>
      <c r="D45" t="str">
        <f t="shared" si="1"/>
        <v>TaxNumber1 = ThisWorkbook.Sheets(Sheet1).Cells(iRow, 73).Value</v>
      </c>
    </row>
    <row r="46" spans="1:4">
      <c r="A46" t="s">
        <v>133</v>
      </c>
      <c r="B46">
        <v>74</v>
      </c>
      <c r="C46" t="str">
        <f t="shared" si="0"/>
        <v>Sheet1</v>
      </c>
      <c r="D46" t="str">
        <f t="shared" si="1"/>
        <v>TaxNumber2 = ThisWorkbook.Sheets(Sheet1).Cells(iRow, 74).Value</v>
      </c>
    </row>
    <row r="47" spans="1:4">
      <c r="A47" t="s">
        <v>59</v>
      </c>
      <c r="B47">
        <v>75</v>
      </c>
      <c r="C47" t="str">
        <f t="shared" si="0"/>
        <v>Sheet1</v>
      </c>
      <c r="D47" t="str">
        <f t="shared" si="1"/>
        <v>TaxNumber3 = ThisWorkbook.Sheets(Sheet1).Cells(iRow, 75).Value</v>
      </c>
    </row>
    <row r="48" spans="1:4">
      <c r="A48" t="s">
        <v>60</v>
      </c>
      <c r="B48">
        <v>76</v>
      </c>
      <c r="C48" t="str">
        <f t="shared" si="0"/>
        <v>Sheet1</v>
      </c>
      <c r="D48" t="str">
        <f t="shared" si="1"/>
        <v>TaxNumber4 = ThisWorkbook.Sheets(Sheet1).Cells(iRow, 76).Value</v>
      </c>
    </row>
    <row r="49" spans="1:4">
      <c r="A49" t="s">
        <v>61</v>
      </c>
      <c r="B49">
        <v>77</v>
      </c>
      <c r="C49" t="str">
        <f t="shared" si="0"/>
        <v>Sheet1</v>
      </c>
      <c r="D49" t="str">
        <f t="shared" si="1"/>
        <v>TaxNumber5 = ThisWorkbook.Sheets(Sheet1).Cells(iRow, 77).Value</v>
      </c>
    </row>
    <row r="50" spans="1:4">
      <c r="A50" t="s">
        <v>134</v>
      </c>
      <c r="B50">
        <v>78</v>
      </c>
      <c r="C50" t="str">
        <f t="shared" si="0"/>
        <v>Sheet1</v>
      </c>
      <c r="D50" t="str">
        <f t="shared" si="1"/>
        <v>ControlKey = ThisWorkbook.Sheets(Sheet1).Cells(iRow, 78).Value</v>
      </c>
    </row>
    <row r="51" spans="1:4">
      <c r="A51" t="s">
        <v>135</v>
      </c>
      <c r="B51">
        <v>79</v>
      </c>
      <c r="C51" t="str">
        <f t="shared" si="0"/>
        <v>Sheet1</v>
      </c>
      <c r="D51" t="str">
        <f t="shared" si="1"/>
        <v>BankCountry = ThisWorkbook.Sheets(Sheet1).Cells(iRow, 79).Value</v>
      </c>
    </row>
  </sheetData>
  <phoneticPr fontId="1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BABD4-577D-4A8B-A85C-1A8A43C88E4E}">
  <sheetPr codeName="Sheet11"/>
  <dimension ref="A1:D23"/>
  <sheetViews>
    <sheetView workbookViewId="0">
      <selection activeCell="H12" sqref="H12"/>
    </sheetView>
  </sheetViews>
  <sheetFormatPr defaultRowHeight="15"/>
  <cols>
    <col min="1" max="4" width="15.7109375" style="46" customWidth="1"/>
    <col min="5" max="5" width="11" bestFit="1" customWidth="1"/>
  </cols>
  <sheetData>
    <row r="1" spans="1:4">
      <c r="A1" s="105" t="s">
        <v>136</v>
      </c>
      <c r="B1" s="105"/>
      <c r="C1" s="105"/>
      <c r="D1" s="105"/>
    </row>
    <row r="2" spans="1:4">
      <c r="A2" s="72" t="s">
        <v>137</v>
      </c>
      <c r="B2" s="72" t="s">
        <v>138</v>
      </c>
      <c r="C2" s="72" t="s">
        <v>139</v>
      </c>
      <c r="D2" s="72" t="s">
        <v>140</v>
      </c>
    </row>
    <row r="3" spans="1:4">
      <c r="A3" s="71" t="s">
        <v>157</v>
      </c>
      <c r="B3" s="71">
        <v>1000</v>
      </c>
      <c r="C3" s="71">
        <v>1900000325</v>
      </c>
      <c r="D3" s="71">
        <v>2024</v>
      </c>
    </row>
    <row r="4" spans="1:4">
      <c r="B4" s="84">
        <v>7500</v>
      </c>
      <c r="C4" s="3">
        <v>1900000164</v>
      </c>
      <c r="D4" s="46">
        <v>2025</v>
      </c>
    </row>
    <row r="5" spans="1:4">
      <c r="B5" s="84">
        <v>7801</v>
      </c>
      <c r="C5" s="3">
        <v>1900000273</v>
      </c>
      <c r="D5" s="46">
        <v>2025</v>
      </c>
    </row>
    <row r="6" spans="1:4">
      <c r="B6" s="84">
        <v>7801</v>
      </c>
      <c r="C6" s="3">
        <v>1900000274</v>
      </c>
      <c r="D6" s="46">
        <v>2025</v>
      </c>
    </row>
    <row r="7" spans="1:4">
      <c r="B7" s="84">
        <v>7900</v>
      </c>
      <c r="C7" s="3">
        <v>1900000293</v>
      </c>
      <c r="D7" s="46">
        <v>2025</v>
      </c>
    </row>
    <row r="8" spans="1:4">
      <c r="A8" s="46" t="s">
        <v>157</v>
      </c>
      <c r="B8" s="84">
        <v>7900</v>
      </c>
      <c r="C8" s="3">
        <v>1900000294</v>
      </c>
      <c r="D8" s="46">
        <v>2025</v>
      </c>
    </row>
    <row r="9" spans="1:4">
      <c r="B9" s="84"/>
      <c r="C9" s="3"/>
    </row>
    <row r="10" spans="1:4">
      <c r="B10" s="84"/>
      <c r="C10" s="3"/>
    </row>
    <row r="11" spans="1:4">
      <c r="B11" s="84"/>
      <c r="C11" s="3"/>
    </row>
    <row r="12" spans="1:4">
      <c r="B12" s="84"/>
      <c r="C12" s="3"/>
    </row>
    <row r="13" spans="1:4">
      <c r="B13" s="84"/>
      <c r="C13" s="3"/>
    </row>
    <row r="14" spans="1:4">
      <c r="B14" s="84"/>
      <c r="C14" s="3"/>
    </row>
    <row r="15" spans="1:4">
      <c r="B15" s="84"/>
      <c r="C15" s="3"/>
    </row>
    <row r="16" spans="1:4">
      <c r="B16" s="84"/>
      <c r="C16" s="3"/>
    </row>
    <row r="17" spans="2:3">
      <c r="B17" s="84"/>
      <c r="C17" s="3"/>
    </row>
    <row r="18" spans="2:3">
      <c r="B18" s="84"/>
    </row>
    <row r="19" spans="2:3">
      <c r="B19" s="84"/>
    </row>
    <row r="20" spans="2:3">
      <c r="B20" s="84"/>
    </row>
    <row r="21" spans="2:3">
      <c r="B21" s="84"/>
    </row>
    <row r="22" spans="2:3">
      <c r="B22" s="84"/>
    </row>
    <row r="23" spans="2:3">
      <c r="B23" s="84"/>
    </row>
  </sheetData>
  <mergeCells count="1">
    <mergeCell ref="A1:D1"/>
  </mergeCells>
  <phoneticPr fontId="1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3D460-0F4B-4BCA-8245-0BBF567ABE41}">
  <sheetPr codeName="Sheet1"/>
  <dimension ref="A1:Q30"/>
  <sheetViews>
    <sheetView tabSelected="1" zoomScaleNormal="100" workbookViewId="0">
      <selection activeCell="H16" sqref="H16"/>
    </sheetView>
  </sheetViews>
  <sheetFormatPr defaultRowHeight="15"/>
  <cols>
    <col min="1" max="1" width="26.5703125" style="3" customWidth="1"/>
    <col min="2" max="2" width="30.28515625" style="46" customWidth="1"/>
    <col min="3" max="3" width="7.28515625" style="46" customWidth="1"/>
    <col min="4" max="4" width="18.85546875" style="46" customWidth="1"/>
    <col min="5" max="5" width="53.28515625" style="55" customWidth="1"/>
    <col min="6" max="6" width="17.140625" style="3" customWidth="1"/>
    <col min="7" max="8" width="21.5703125" style="46" bestFit="1" customWidth="1"/>
    <col min="9" max="9" width="15.28515625" style="46" customWidth="1"/>
    <col min="10" max="11" width="25.85546875" style="77" bestFit="1" customWidth="1"/>
    <col min="13" max="13" width="10.140625" bestFit="1" customWidth="1"/>
    <col min="17" max="19" width="8.85546875" customWidth="1"/>
  </cols>
  <sheetData>
    <row r="1" spans="1:17" s="1" customFormat="1">
      <c r="A1" s="106" t="s">
        <v>141</v>
      </c>
      <c r="B1" s="106"/>
      <c r="C1" s="106"/>
      <c r="D1" s="106"/>
      <c r="E1" s="106"/>
      <c r="F1" s="106"/>
      <c r="G1" s="106"/>
      <c r="H1" s="106"/>
      <c r="I1" s="106"/>
      <c r="J1" s="106"/>
      <c r="K1" s="106"/>
      <c r="L1" s="106"/>
      <c r="M1" s="106"/>
      <c r="N1" s="106"/>
      <c r="O1" s="106"/>
    </row>
    <row r="2" spans="1:17" s="1" customFormat="1" ht="15" customHeight="1">
      <c r="A2" s="107" t="s">
        <v>142</v>
      </c>
      <c r="B2" s="107"/>
      <c r="C2" s="107"/>
      <c r="D2" s="107"/>
      <c r="E2" s="107"/>
      <c r="F2" s="59"/>
      <c r="G2" s="54" t="s">
        <v>143</v>
      </c>
      <c r="H2" s="65"/>
      <c r="I2" s="65"/>
      <c r="J2" s="74"/>
      <c r="K2" s="74"/>
      <c r="L2" s="56"/>
      <c r="M2" s="56"/>
      <c r="N2" s="56"/>
      <c r="O2" s="56"/>
      <c r="Q2" s="52"/>
    </row>
    <row r="3" spans="1:17" s="1" customFormat="1">
      <c r="A3" s="107"/>
      <c r="B3" s="107"/>
      <c r="C3" s="107"/>
      <c r="D3" s="107"/>
      <c r="E3" s="107"/>
      <c r="F3" s="59"/>
      <c r="G3" s="54" t="s">
        <v>144</v>
      </c>
      <c r="H3" s="65"/>
      <c r="I3" s="65"/>
      <c r="J3" s="74"/>
      <c r="K3" s="74"/>
      <c r="L3" s="56"/>
      <c r="M3" s="56"/>
      <c r="N3" s="56"/>
      <c r="O3" s="56"/>
    </row>
    <row r="4" spans="1:17" s="1" customFormat="1">
      <c r="A4" s="107"/>
      <c r="B4" s="107"/>
      <c r="C4" s="107"/>
      <c r="D4" s="107"/>
      <c r="E4" s="107"/>
      <c r="F4" s="59"/>
      <c r="G4" s="54" t="s">
        <v>145</v>
      </c>
      <c r="H4" s="65"/>
      <c r="I4" s="65"/>
      <c r="J4" s="74"/>
      <c r="K4" s="74"/>
      <c r="L4" s="56"/>
      <c r="M4" s="56"/>
      <c r="N4" s="56"/>
      <c r="O4" s="56"/>
    </row>
    <row r="5" spans="1:17" s="1" customFormat="1">
      <c r="A5" s="2" t="s">
        <v>146</v>
      </c>
      <c r="B5" s="45"/>
      <c r="C5" s="45"/>
      <c r="D5" s="45"/>
      <c r="E5" s="54"/>
      <c r="F5" s="58"/>
      <c r="G5" s="54" t="s">
        <v>147</v>
      </c>
      <c r="H5" s="45"/>
      <c r="I5" s="45"/>
      <c r="J5" s="75"/>
      <c r="K5" s="75"/>
    </row>
    <row r="6" spans="1:17" s="1" customFormat="1" ht="15.75">
      <c r="A6" s="58"/>
      <c r="B6" s="53" t="s">
        <v>164</v>
      </c>
      <c r="C6" s="45"/>
      <c r="D6" s="47"/>
      <c r="E6" s="48"/>
      <c r="F6" s="58"/>
      <c r="G6" s="45"/>
      <c r="H6" s="45"/>
      <c r="I6" s="66"/>
      <c r="J6" s="75"/>
      <c r="K6" s="75"/>
    </row>
    <row r="7" spans="1:17" s="1" customFormat="1" ht="15.75">
      <c r="A7" s="53" t="s">
        <v>163</v>
      </c>
      <c r="B7" s="70" t="s">
        <v>158</v>
      </c>
      <c r="C7" s="45"/>
      <c r="D7" s="47" t="s">
        <v>148</v>
      </c>
      <c r="E7" s="48" t="s">
        <v>189</v>
      </c>
      <c r="F7" s="58"/>
      <c r="G7" s="45"/>
      <c r="H7" s="45"/>
      <c r="I7" s="45"/>
      <c r="J7" s="75"/>
      <c r="K7" s="75"/>
    </row>
    <row r="8" spans="1:17" s="1" customFormat="1" ht="18.75" customHeight="1">
      <c r="A8" s="51" t="s">
        <v>222</v>
      </c>
      <c r="B8" s="45"/>
      <c r="C8" s="45"/>
      <c r="D8" s="47"/>
      <c r="E8" s="54"/>
      <c r="F8" s="58"/>
      <c r="G8" s="45"/>
      <c r="H8" s="45"/>
      <c r="I8" s="45"/>
      <c r="J8" s="75"/>
      <c r="K8" s="75"/>
    </row>
    <row r="9" spans="1:17" s="1" customFormat="1" ht="15.75">
      <c r="A9" s="49" t="s">
        <v>195</v>
      </c>
      <c r="B9" s="45"/>
      <c r="C9" s="45"/>
      <c r="D9" s="45"/>
      <c r="E9" s="54"/>
      <c r="F9" s="58"/>
      <c r="G9" s="45"/>
      <c r="H9" s="45"/>
      <c r="I9" s="45"/>
      <c r="J9" s="75"/>
      <c r="K9" s="75"/>
    </row>
    <row r="10" spans="1:17" s="4" customFormat="1" ht="12.75">
      <c r="A10" s="73" t="s">
        <v>15</v>
      </c>
      <c r="B10" s="73" t="s">
        <v>149</v>
      </c>
      <c r="C10" s="73" t="s">
        <v>143</v>
      </c>
      <c r="D10" s="73"/>
      <c r="E10" s="78" t="s">
        <v>150</v>
      </c>
      <c r="F10" s="73" t="s">
        <v>151</v>
      </c>
      <c r="G10" s="73" t="s">
        <v>152</v>
      </c>
      <c r="H10" s="73" t="s">
        <v>152</v>
      </c>
      <c r="I10" s="73" t="s">
        <v>153</v>
      </c>
      <c r="J10" s="76" t="s">
        <v>154</v>
      </c>
      <c r="K10" s="57" t="s">
        <v>155</v>
      </c>
      <c r="L10" s="50"/>
      <c r="M10" s="50"/>
      <c r="N10" s="50"/>
      <c r="O10" s="50"/>
      <c r="P10" s="50"/>
      <c r="Q10" s="50"/>
    </row>
    <row r="11" spans="1:17">
      <c r="B11" s="3"/>
      <c r="C11" s="3"/>
      <c r="D11" s="3"/>
      <c r="E11" s="5"/>
      <c r="G11" s="3"/>
      <c r="H11" s="3"/>
      <c r="I11" s="3"/>
      <c r="J11" s="3"/>
      <c r="K11" s="3"/>
    </row>
    <row r="12" spans="1:17">
      <c r="B12" s="3"/>
      <c r="C12" s="3"/>
      <c r="D12" s="3"/>
      <c r="E12" s="5"/>
      <c r="G12" s="3"/>
      <c r="H12" s="3"/>
      <c r="I12" s="3"/>
      <c r="J12" s="3"/>
      <c r="K12" s="3"/>
    </row>
    <row r="13" spans="1:17">
      <c r="B13" s="3"/>
      <c r="C13" s="3"/>
      <c r="D13" s="3"/>
      <c r="E13" s="5"/>
      <c r="G13" s="3"/>
      <c r="H13" s="3"/>
      <c r="I13" s="3"/>
      <c r="J13" s="3"/>
      <c r="K13" s="3"/>
    </row>
    <row r="14" spans="1:17">
      <c r="B14" s="3"/>
      <c r="C14" s="3"/>
      <c r="D14" s="3"/>
      <c r="E14" s="5"/>
      <c r="G14" s="3"/>
      <c r="H14" s="3"/>
      <c r="I14" s="3"/>
      <c r="J14" s="3"/>
      <c r="K14" s="3"/>
    </row>
    <row r="15" spans="1:17">
      <c r="B15" s="3"/>
      <c r="C15" s="3"/>
      <c r="D15" s="3"/>
      <c r="E15" s="5"/>
      <c r="G15" s="3"/>
      <c r="H15" s="3"/>
      <c r="I15" s="3"/>
      <c r="J15" s="3" t="s">
        <v>203</v>
      </c>
      <c r="K15" s="3" t="s">
        <v>156</v>
      </c>
    </row>
    <row r="16" spans="1:17">
      <c r="B16" s="3"/>
      <c r="C16" s="3"/>
      <c r="D16" s="3"/>
      <c r="E16" s="5"/>
      <c r="G16" s="3"/>
      <c r="H16" s="3"/>
      <c r="I16" s="3"/>
      <c r="J16" s="3"/>
      <c r="K16" s="3"/>
    </row>
    <row r="17" spans="1:11">
      <c r="B17" s="3"/>
      <c r="C17" s="3"/>
      <c r="D17" s="3"/>
      <c r="E17" s="5"/>
      <c r="G17" s="3"/>
      <c r="H17" s="3"/>
      <c r="I17" s="3"/>
      <c r="J17" s="3"/>
      <c r="K17" s="3"/>
    </row>
    <row r="18" spans="1:11">
      <c r="A18" s="3">
        <v>100343833</v>
      </c>
      <c r="B18" s="3" t="s">
        <v>221</v>
      </c>
      <c r="C18" s="3">
        <v>2</v>
      </c>
      <c r="D18" s="3" t="s">
        <v>177</v>
      </c>
      <c r="E18" s="5" t="s">
        <v>182</v>
      </c>
      <c r="F18" s="3">
        <v>1900000950</v>
      </c>
      <c r="G18" s="3"/>
      <c r="H18" s="3"/>
      <c r="I18" s="3"/>
      <c r="J18" s="3"/>
      <c r="K18" s="3"/>
    </row>
    <row r="19" spans="1:11">
      <c r="B19" s="3"/>
      <c r="C19" s="3"/>
      <c r="D19" s="3"/>
      <c r="E19" s="5"/>
      <c r="G19" s="3"/>
      <c r="H19" s="3"/>
      <c r="I19" s="3"/>
      <c r="J19" s="3"/>
      <c r="K19" s="3"/>
    </row>
    <row r="20" spans="1:11">
      <c r="B20" s="3"/>
      <c r="C20" s="3"/>
      <c r="D20" s="3"/>
      <c r="E20" s="5"/>
      <c r="G20" s="3"/>
      <c r="H20" s="3"/>
      <c r="I20" s="3"/>
      <c r="J20" s="3"/>
      <c r="K20" s="3"/>
    </row>
    <row r="21" spans="1:11">
      <c r="B21" s="3"/>
      <c r="C21" s="3"/>
      <c r="D21" s="3"/>
      <c r="E21" s="5"/>
      <c r="G21" s="3"/>
      <c r="H21" s="3"/>
      <c r="I21" s="3"/>
      <c r="J21" s="3"/>
      <c r="K21" s="3"/>
    </row>
    <row r="22" spans="1:11">
      <c r="B22" s="3"/>
      <c r="C22" s="3"/>
      <c r="D22" s="3"/>
      <c r="E22" s="5"/>
      <c r="G22" s="3"/>
      <c r="H22" s="3"/>
      <c r="I22" s="3"/>
      <c r="J22" s="3"/>
      <c r="K22" s="3"/>
    </row>
    <row r="23" spans="1:11">
      <c r="B23" s="3"/>
      <c r="C23" s="3"/>
      <c r="D23" s="3"/>
      <c r="E23" s="5"/>
      <c r="G23" s="3"/>
      <c r="H23" s="3"/>
      <c r="I23" s="3"/>
      <c r="J23" s="3"/>
      <c r="K23" s="3"/>
    </row>
    <row r="24" spans="1:11">
      <c r="B24" s="3"/>
      <c r="C24" s="3"/>
      <c r="D24" s="3"/>
      <c r="E24" s="5"/>
      <c r="G24" s="3"/>
      <c r="H24" s="3"/>
      <c r="I24" s="3"/>
      <c r="J24" s="3"/>
      <c r="K24" s="3"/>
    </row>
    <row r="25" spans="1:11">
      <c r="B25" s="3"/>
      <c r="C25" s="3"/>
      <c r="D25" s="3"/>
      <c r="E25" s="5"/>
      <c r="G25" s="3"/>
      <c r="H25" s="3"/>
      <c r="I25" s="3"/>
      <c r="J25" s="3"/>
      <c r="K25" s="3"/>
    </row>
    <row r="26" spans="1:11">
      <c r="B26" s="3"/>
      <c r="C26" s="3"/>
      <c r="D26" s="3"/>
      <c r="E26" s="5"/>
      <c r="G26" s="3"/>
      <c r="H26" s="3"/>
      <c r="I26" s="3"/>
      <c r="J26" s="3"/>
      <c r="K26" s="3"/>
    </row>
    <row r="27" spans="1:11">
      <c r="B27" s="3"/>
      <c r="C27" s="3"/>
      <c r="D27" s="3"/>
      <c r="E27" s="5"/>
      <c r="G27" s="3"/>
      <c r="H27" s="3"/>
      <c r="I27" s="3"/>
      <c r="J27" s="3"/>
      <c r="K27" s="3"/>
    </row>
    <row r="28" spans="1:11">
      <c r="B28" s="3"/>
      <c r="C28" s="3"/>
      <c r="D28" s="3"/>
      <c r="E28" s="5"/>
      <c r="G28" s="3"/>
      <c r="H28" s="3"/>
      <c r="I28" s="3"/>
      <c r="J28" s="3"/>
      <c r="K28" s="3"/>
    </row>
    <row r="29" spans="1:11">
      <c r="B29" s="3"/>
      <c r="C29" s="3"/>
      <c r="D29" s="3"/>
      <c r="E29" s="5"/>
      <c r="G29" s="3"/>
      <c r="H29" s="3"/>
      <c r="I29" s="3"/>
      <c r="J29" s="3"/>
      <c r="K29" s="3"/>
    </row>
    <row r="30" spans="1:11">
      <c r="B30" s="3"/>
      <c r="C30" s="3"/>
      <c r="D30" s="3"/>
      <c r="E30" s="5"/>
      <c r="G30" s="3"/>
      <c r="H30" s="3"/>
      <c r="I30" s="3"/>
      <c r="J30" s="3"/>
      <c r="K30" s="3"/>
    </row>
  </sheetData>
  <dataConsolidate/>
  <mergeCells count="2">
    <mergeCell ref="A1:O1"/>
    <mergeCell ref="A2:E4"/>
  </mergeCells>
  <phoneticPr fontId="10" type="noConversion"/>
  <dataValidations count="4">
    <dataValidation type="list" allowBlank="1" showInputMessage="1" showErrorMessage="1" prompt="Select SAP Environment" sqref="A8" xr:uid="{80C65752-7140-4A9C-B3E1-34FFF149EC28}">
      <formula1>"RA4900,RA3900,RA7900,RS5900,RS1900"</formula1>
    </dataValidation>
    <dataValidation type="list" allowBlank="1" showInputMessage="1" showErrorMessage="1" prompt="Enable/ Disable Screenshot Function" sqref="A7" xr:uid="{EDCAC330-3082-4886-83A4-F16CEE31FC0C}">
      <formula1>"ScreenShot Enabled, ScreenShot Disabled"</formula1>
    </dataValidation>
    <dataValidation type="list" allowBlank="1" showInputMessage="1" showErrorMessage="1" prompt="Enable/ Disable Screenshot Function" sqref="B7" xr:uid="{397A33FA-A68D-429E-9F6F-5DD805570321}">
      <formula1>"HnM Enabled, HnM Disabled"</formula1>
    </dataValidation>
    <dataValidation type="list" allowBlank="1" showInputMessage="1" showErrorMessage="1" prompt="Automation Title" sqref="B6" xr:uid="{85254259-5D94-4312-895D-A5FCCAA1E779}">
      <formula1>"BuyNow, RTP"</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1.StartProcessing">
                <anchor moveWithCells="1" sizeWithCells="1">
                  <from>
                    <xdr:col>1</xdr:col>
                    <xdr:colOff>171450</xdr:colOff>
                    <xdr:row>7</xdr:row>
                    <xdr:rowOff>114300</xdr:rowOff>
                  </from>
                  <to>
                    <xdr:col>1</xdr:col>
                    <xdr:colOff>1847850</xdr:colOff>
                    <xdr:row>8</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StartIndexing">
                <anchor moveWithCells="1">
                  <from>
                    <xdr:col>2</xdr:col>
                    <xdr:colOff>47625</xdr:colOff>
                    <xdr:row>7</xdr:row>
                    <xdr:rowOff>114300</xdr:rowOff>
                  </from>
                  <to>
                    <xdr:col>3</xdr:col>
                    <xdr:colOff>1200150</xdr:colOff>
                    <xdr:row>8</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1FA681403A8344898CF08C8B47E68E0" ma:contentTypeVersion="16" ma:contentTypeDescription="Create a new document." ma:contentTypeScope="" ma:versionID="5bca8f6c9ca07a6772adde02a65b0553">
  <xsd:schema xmlns:xsd="http://www.w3.org/2001/XMLSchema" xmlns:xs="http://www.w3.org/2001/XMLSchema" xmlns:p="http://schemas.microsoft.com/office/2006/metadata/properties" xmlns:ns2="757dbe05-ce7b-4452-825d-26c90079690d" xmlns:ns3="78c86c5f-eb0b-4f28-93ee-47eb01c096b2" targetNamespace="http://schemas.microsoft.com/office/2006/metadata/properties" ma:root="true" ma:fieldsID="c3a9819fda83a8f086a5bbc213563a01" ns2:_="" ns3:_="">
    <xsd:import namespace="757dbe05-ce7b-4452-825d-26c90079690d"/>
    <xsd:import namespace="78c86c5f-eb0b-4f28-93ee-47eb01c096b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7dbe05-ce7b-4452-825d-26c9007969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8c86c5f-eb0b-4f28-93ee-47eb01c096b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57dbe05-ce7b-4452-825d-26c90079690d">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2061E4F-C8C2-427D-B457-3D2486BA9FA1}">
  <ds:schemaRefs>
    <ds:schemaRef ds:uri="http://schemas.microsoft.com/sharepoint/v3/contenttype/forms"/>
  </ds:schemaRefs>
</ds:datastoreItem>
</file>

<file path=customXml/itemProps2.xml><?xml version="1.0" encoding="utf-8"?>
<ds:datastoreItem xmlns:ds="http://schemas.openxmlformats.org/officeDocument/2006/customXml" ds:itemID="{C7280BD5-9F97-47F2-8CA2-18D0C3C7FD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7dbe05-ce7b-4452-825d-26c90079690d"/>
    <ds:schemaRef ds:uri="78c86c5f-eb0b-4f28-93ee-47eb01c096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626CC16-F714-4E12-ACE3-C871A265900C}">
  <ds:schemaRefs>
    <ds:schemaRef ds:uri="http://schemas.microsoft.com/office/2006/metadata/properties"/>
    <ds:schemaRef ds:uri="http://schemas.microsoft.com/office/infopath/2007/PartnerControls"/>
    <ds:schemaRef ds:uri="757dbe05-ce7b-4452-825d-26c90079690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Template</vt:lpstr>
      <vt:lpstr>get data</vt:lpstr>
      <vt:lpstr>ZBB2</vt:lpstr>
      <vt:lpstr>Script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randolp.agaton</dc:creator>
  <cp:keywords/>
  <dc:description/>
  <cp:lastModifiedBy>Agaton, Randolp</cp:lastModifiedBy>
  <cp:revision/>
  <dcterms:created xsi:type="dcterms:W3CDTF">2022-07-28T08:20:42Z</dcterms:created>
  <dcterms:modified xsi:type="dcterms:W3CDTF">2025-03-17T00:41:51Z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0x010100A1FA681403A8344898CF08C8B47E68E0</vt:lpwstr>
  </property>
  <property fmtid="{D5CDD505-2E9C-101B-9397-08002B2CF9AE}" pid="3" name="MediaServiceImageTags">
    <vt:lpwstr/>
  </property>
</Properties>
</file>