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dolp.agaton\Desktop\macro\"/>
    </mc:Choice>
  </mc:AlternateContent>
  <xr:revisionPtr revIDLastSave="0" documentId="13_ncr:1_{3B235ABA-0F7B-4762-BDDF-C4551771C658}" xr6:coauthVersionLast="47" xr6:coauthVersionMax="47" xr10:uidLastSave="{00000000-0000-0000-0000-000000000000}"/>
  <bookViews>
    <workbookView xWindow="-120" yWindow="-120" windowWidth="29040" windowHeight="15720" activeTab="1" xr2:uid="{8D4CF9A0-657A-496E-9AFC-6568AE2828AF}"/>
  </bookViews>
  <sheets>
    <sheet name="Sheet1" sheetId="1" r:id="rId1"/>
    <sheet name="Sheet2" sheetId="2" r:id="rId2"/>
    <sheet name="Sheet2 (2)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D10" i="2"/>
  <c r="D9" i="2"/>
</calcChain>
</file>

<file path=xl/sharedStrings.xml><?xml version="1.0" encoding="utf-8"?>
<sst xmlns="http://schemas.openxmlformats.org/spreadsheetml/2006/main" count="115" uniqueCount="54">
  <si>
    <t>Resource</t>
  </si>
  <si>
    <t>Day 1</t>
  </si>
  <si>
    <t>Populate the following:</t>
  </si>
  <si>
    <t>Item</t>
  </si>
  <si>
    <t>Value</t>
  </si>
  <si>
    <t>Unit</t>
  </si>
  <si>
    <t>Total No. of TCER</t>
  </si>
  <si>
    <t>TCERs</t>
  </si>
  <si>
    <t>Estimated No. of Effort/TCER (minutes)</t>
  </si>
  <si>
    <t>minutes</t>
  </si>
  <si>
    <t>No. of Resources</t>
  </si>
  <si>
    <t>Resources</t>
  </si>
  <si>
    <t>Provided Days of Execution</t>
  </si>
  <si>
    <t>Days</t>
  </si>
  <si>
    <t>Results:</t>
  </si>
  <si>
    <t>Day 2</t>
  </si>
  <si>
    <t>Day 3</t>
  </si>
  <si>
    <t>Day 4</t>
  </si>
  <si>
    <t>Day 5</t>
  </si>
  <si>
    <t>Suggested TCER / Day: 12</t>
  </si>
  <si>
    <t>Day 6</t>
  </si>
  <si>
    <t>Day 7</t>
  </si>
  <si>
    <t>Day 8</t>
  </si>
  <si>
    <t>Day 9</t>
  </si>
  <si>
    <t>Day 10</t>
  </si>
  <si>
    <t>RID1107</t>
  </si>
  <si>
    <t>RID3246</t>
  </si>
  <si>
    <t>RID279</t>
  </si>
  <si>
    <t>RID</t>
  </si>
  <si>
    <t>Description</t>
  </si>
  <si>
    <t>Updates</t>
  </si>
  <si>
    <t>RID510</t>
  </si>
  <si>
    <t>Preferred Supplier</t>
  </si>
  <si>
    <t>Supplier and Accenture unique VAT ID validation in AN</t>
  </si>
  <si>
    <t>Put a hard stop error when user is changing the Default Billing Address in PR except for Paymaster CC</t>
  </si>
  <si>
    <t>"Postal code" field for AN AdHoc Address - Add hard stop validation/mandatory field</t>
  </si>
  <si>
    <t>Script Creation - 100% (waiting for sign off)
Test Data Prep/ Inflight Prep - IP (assigned to Jomar)</t>
  </si>
  <si>
    <t>Script Creation - 50% (waiting for countries required to test)</t>
  </si>
  <si>
    <t>waiting for updates from Mond</t>
  </si>
  <si>
    <t>Script Creation - 100% (will email sign off EOD)
Test Data Prep/ Inflight Prep - NS (waiting for test data from RID1107)</t>
  </si>
  <si>
    <t>Test data prep</t>
  </si>
  <si>
    <t>Status</t>
  </si>
  <si>
    <t>Assignee</t>
  </si>
  <si>
    <t>Jomar</t>
  </si>
  <si>
    <t>Action item</t>
  </si>
  <si>
    <t xml:space="preserve">Create PRPO for inflight scenarios of RID1107 and RID279 </t>
  </si>
  <si>
    <t>EOD</t>
  </si>
  <si>
    <t xml:space="preserve">Create a 2 line item PRPO then Submit (28 PRPO with back up) </t>
  </si>
  <si>
    <t>Suggested No. of Resource for 10 days</t>
  </si>
  <si>
    <t>Suggested No. of Days for 3 resource</t>
  </si>
  <si>
    <t>Project Hopper</t>
  </si>
  <si>
    <t>BN Gating GP</t>
  </si>
  <si>
    <t>BN Gating IA</t>
  </si>
  <si>
    <t>BN E2E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</si>
</sst>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16" fontId="0" fillId="0" borderId="0" xfId="0" applyNumberFormat="1"/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3" borderId="0" xfId="0" applyFont="1" applyFill="1"/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4" fillId="0" borderId="1" xfId="0" applyNumberFormat="1" applyFont="1" applyBorder="1" applyAlignment="1">
      <alignment horizontal="center"/>
    </xf>
    <xf numFmtId="16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16" fontId="4" fillId="0" borderId="0" xfId="0" applyNumberFormat="1" applyFont="1" applyAlignment="1">
      <alignment horizontal="center"/>
    </xf>
    <xf numFmtId="0" fontId="0" fillId="0" borderId="1" xfId="0" applyBorder="1"/>
    <xf numFmtId="9" fontId="4" fillId="0" borderId="4" xfId="0" applyNumberFormat="1" applyFont="1" applyBorder="1" applyAlignment="1">
      <alignment horizontal="center"/>
    </xf>
    <xf numFmtId="9" fontId="4" fillId="0" borderId="2" xfId="0" applyNumberFormat="1" applyFont="1" applyBorder="1" applyAlignment="1">
      <alignment horizontal="center"/>
    </xf>
    <xf numFmtId="9" fontId="4" fillId="0" borderId="3" xfId="0" applyNumberFormat="1" applyFont="1" applyBorder="1" applyAlignment="1">
      <alignment horizontal="center"/>
    </xf>
    <xf numFmtId="16" fontId="4" fillId="0" borderId="4" xfId="0" applyNumberFormat="1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9" fontId="4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33F0-E77D-4D4D-8B16-81BCF413AFD4}">
  <sheetPr codeName="Sheet1"/>
  <dimension ref="A1:K17"/>
  <sheetViews>
    <sheetView showGridLines="0" zoomScale="115" zoomScaleNormal="115" workbookViewId="0">
      <selection activeCell="G21" sqref="G21"/>
    </sheetView>
  </sheetViews>
  <sheetFormatPr defaultRowHeight="15" x14ac:dyDescent="0.25"/>
  <cols>
    <col min="1" max="1" width="36.28515625" bestFit="1" customWidth="1"/>
    <col min="3" max="3" width="10.42578125" customWidth="1"/>
  </cols>
  <sheetData>
    <row r="1" spans="1:11" x14ac:dyDescent="0.25">
      <c r="A1" s="7" t="s">
        <v>2</v>
      </c>
      <c r="B1" s="8"/>
      <c r="C1" s="8"/>
      <c r="D1" s="9"/>
      <c r="E1" s="9"/>
      <c r="F1" s="9"/>
      <c r="G1" s="9"/>
      <c r="H1" s="9"/>
    </row>
    <row r="2" spans="1:11" x14ac:dyDescent="0.25">
      <c r="A2" s="10" t="s">
        <v>3</v>
      </c>
      <c r="B2" s="11" t="s">
        <v>4</v>
      </c>
      <c r="C2" s="11" t="s">
        <v>5</v>
      </c>
    </row>
    <row r="3" spans="1:11" x14ac:dyDescent="0.25">
      <c r="A3" s="2" t="s">
        <v>6</v>
      </c>
      <c r="B3" s="3">
        <v>303</v>
      </c>
      <c r="C3" s="12" t="s">
        <v>7</v>
      </c>
    </row>
    <row r="4" spans="1:11" x14ac:dyDescent="0.25">
      <c r="A4" s="5" t="s">
        <v>8</v>
      </c>
      <c r="B4" s="3">
        <v>45</v>
      </c>
      <c r="C4" s="12" t="s">
        <v>9</v>
      </c>
      <c r="I4" s="4"/>
    </row>
    <row r="5" spans="1:11" x14ac:dyDescent="0.25">
      <c r="A5" s="2" t="s">
        <v>10</v>
      </c>
      <c r="B5" s="3">
        <v>3</v>
      </c>
      <c r="C5" s="12" t="s">
        <v>11</v>
      </c>
    </row>
    <row r="6" spans="1:11" x14ac:dyDescent="0.25">
      <c r="A6" s="2" t="s">
        <v>12</v>
      </c>
      <c r="B6" s="3">
        <v>10</v>
      </c>
      <c r="C6" s="12" t="s">
        <v>13</v>
      </c>
    </row>
    <row r="7" spans="1:11" x14ac:dyDescent="0.25">
      <c r="A7" s="13"/>
      <c r="B7" s="13"/>
      <c r="C7" s="13"/>
    </row>
    <row r="8" spans="1:11" x14ac:dyDescent="0.25">
      <c r="A8" s="7" t="s">
        <v>14</v>
      </c>
      <c r="B8" s="8"/>
      <c r="C8" s="8"/>
      <c r="D8" s="9"/>
      <c r="E8" s="9"/>
      <c r="F8" s="9"/>
      <c r="G8" s="9"/>
      <c r="H8" s="9"/>
    </row>
    <row r="9" spans="1:11" x14ac:dyDescent="0.25">
      <c r="A9" s="10" t="s">
        <v>3</v>
      </c>
      <c r="B9" s="11" t="s">
        <v>4</v>
      </c>
      <c r="C9" s="11" t="s">
        <v>5</v>
      </c>
    </row>
    <row r="10" spans="1:11" x14ac:dyDescent="0.25">
      <c r="A10" s="14" t="s">
        <v>48</v>
      </c>
      <c r="B10" s="15">
        <v>3</v>
      </c>
      <c r="C10" s="15" t="s">
        <v>11</v>
      </c>
    </row>
    <row r="11" spans="1:11" x14ac:dyDescent="0.25">
      <c r="A11" s="14" t="s">
        <v>49</v>
      </c>
      <c r="B11" s="15">
        <v>8</v>
      </c>
      <c r="C11" s="15" t="s">
        <v>13</v>
      </c>
    </row>
    <row r="12" spans="1:11" x14ac:dyDescent="0.25">
      <c r="A12" s="6"/>
      <c r="B12" s="1"/>
    </row>
    <row r="13" spans="1:11" x14ac:dyDescent="0.25">
      <c r="A13" s="35" t="s">
        <v>19</v>
      </c>
      <c r="B13" s="36">
        <v>0.1</v>
      </c>
      <c r="C13" s="36">
        <v>0.1</v>
      </c>
      <c r="D13" s="36">
        <v>0.1</v>
      </c>
      <c r="E13" s="36">
        <v>0.1</v>
      </c>
      <c r="F13" s="36">
        <v>0.1</v>
      </c>
      <c r="G13" s="36">
        <v>0.1</v>
      </c>
      <c r="H13" s="36">
        <v>0.1</v>
      </c>
      <c r="I13" s="36">
        <v>0.1</v>
      </c>
      <c r="J13" s="36">
        <v>0.1</v>
      </c>
      <c r="K13" s="36">
        <v>0.1</v>
      </c>
    </row>
    <row r="14" spans="1:11" x14ac:dyDescent="0.25">
      <c r="A14" s="35" t="s">
        <v>0</v>
      </c>
      <c r="B14" s="35" t="s">
        <v>1</v>
      </c>
      <c r="C14" s="35" t="s">
        <v>15</v>
      </c>
      <c r="D14" s="35" t="s">
        <v>16</v>
      </c>
      <c r="E14" s="35" t="s">
        <v>17</v>
      </c>
      <c r="F14" s="35" t="s">
        <v>18</v>
      </c>
      <c r="G14" s="35" t="s">
        <v>20</v>
      </c>
      <c r="H14" s="35" t="s">
        <v>21</v>
      </c>
      <c r="I14" s="35" t="s">
        <v>22</v>
      </c>
      <c r="J14" s="35" t="s">
        <v>23</v>
      </c>
      <c r="K14" s="35" t="s">
        <v>24</v>
      </c>
    </row>
    <row r="15" spans="1:11" x14ac:dyDescent="0.25">
      <c r="A15" s="32">
        <v>1</v>
      </c>
      <c r="B15" s="32">
        <v>11</v>
      </c>
      <c r="C15" s="32">
        <v>11</v>
      </c>
      <c r="D15" s="32">
        <v>11</v>
      </c>
      <c r="E15" s="32">
        <v>11</v>
      </c>
      <c r="F15" s="32">
        <v>11</v>
      </c>
      <c r="G15" s="32">
        <v>11</v>
      </c>
      <c r="H15" s="32">
        <v>11</v>
      </c>
      <c r="I15" s="32">
        <v>11</v>
      </c>
      <c r="J15" s="32">
        <v>11</v>
      </c>
      <c r="K15" s="32">
        <v>11</v>
      </c>
    </row>
    <row r="16" spans="1:11" x14ac:dyDescent="0.25">
      <c r="A16" s="32">
        <v>2</v>
      </c>
      <c r="B16" s="32">
        <v>11</v>
      </c>
      <c r="C16" s="32">
        <v>11</v>
      </c>
      <c r="D16" s="32">
        <v>11</v>
      </c>
      <c r="E16" s="32">
        <v>11</v>
      </c>
      <c r="F16" s="32">
        <v>11</v>
      </c>
      <c r="G16" s="32">
        <v>11</v>
      </c>
      <c r="H16" s="32">
        <v>11</v>
      </c>
      <c r="I16" s="32">
        <v>11</v>
      </c>
      <c r="J16" s="32">
        <v>11</v>
      </c>
      <c r="K16" s="32">
        <v>11</v>
      </c>
    </row>
    <row r="17" spans="1:11" x14ac:dyDescent="0.25">
      <c r="A17" s="32">
        <v>3</v>
      </c>
      <c r="B17" s="32">
        <v>11</v>
      </c>
      <c r="C17" s="32">
        <v>11</v>
      </c>
      <c r="D17" s="32">
        <v>11</v>
      </c>
      <c r="E17" s="32">
        <v>11</v>
      </c>
      <c r="F17" s="32">
        <v>11</v>
      </c>
      <c r="G17" s="32">
        <v>11</v>
      </c>
      <c r="H17" s="32">
        <v>11</v>
      </c>
      <c r="I17" s="32">
        <v>11</v>
      </c>
      <c r="J17" s="32">
        <v>11</v>
      </c>
      <c r="K17" s="32">
        <v>11</v>
      </c>
    </row>
  </sheetData>
  <phoneticPr fontId="1" type="noConversion"/>
  <dataValidations count="1">
    <dataValidation type="whole" operator="greaterThanOrEqual" allowBlank="1" showInputMessage="1" showErrorMessage="1" errorTitle="Error:" error="Input integer that is equal to or greater than 1." sqref="B3:B6" xr:uid="{B3DD5B17-E7B6-4A71-8944-5FC2853D39BF}">
      <formula1>1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AF909-B1C3-4362-B277-B059A30BECB6}">
  <sheetPr codeName="Sheet2"/>
  <dimension ref="A1:U11"/>
  <sheetViews>
    <sheetView tabSelected="1" zoomScale="85" zoomScaleNormal="85" workbookViewId="0">
      <selection activeCell="Q18" sqref="Q18"/>
    </sheetView>
  </sheetViews>
  <sheetFormatPr defaultRowHeight="15" x14ac:dyDescent="0.25"/>
  <cols>
    <col min="1" max="1" width="36.28515625" bestFit="1" customWidth="1"/>
    <col min="3" max="3" width="10" bestFit="1" customWidth="1"/>
    <col min="20" max="21" width="9.140625" style="19"/>
  </cols>
  <sheetData>
    <row r="1" spans="1:21" x14ac:dyDescent="0.25">
      <c r="A1" s="7" t="s">
        <v>50</v>
      </c>
      <c r="B1" s="8"/>
      <c r="C1" s="8"/>
      <c r="D1" s="9"/>
      <c r="E1" s="9"/>
      <c r="F1" s="9"/>
      <c r="G1" s="9"/>
      <c r="H1" s="9"/>
      <c r="I1" s="9"/>
      <c r="J1" s="9"/>
      <c r="K1" s="9"/>
    </row>
    <row r="2" spans="1:21" x14ac:dyDescent="0.25">
      <c r="A2" s="10" t="s">
        <v>3</v>
      </c>
      <c r="B2" s="11" t="s">
        <v>4</v>
      </c>
      <c r="C2" s="11" t="s">
        <v>5</v>
      </c>
    </row>
    <row r="3" spans="1:21" x14ac:dyDescent="0.25">
      <c r="A3" s="2" t="s">
        <v>6</v>
      </c>
      <c r="B3" s="3">
        <f>128+93+17</f>
        <v>238</v>
      </c>
      <c r="C3" s="12" t="s">
        <v>7</v>
      </c>
    </row>
    <row r="4" spans="1:21" x14ac:dyDescent="0.25">
      <c r="A4" s="2" t="s">
        <v>10</v>
      </c>
      <c r="B4" s="3">
        <v>2</v>
      </c>
      <c r="C4" s="12" t="s">
        <v>11</v>
      </c>
    </row>
    <row r="5" spans="1:21" x14ac:dyDescent="0.25">
      <c r="A5" s="2" t="s">
        <v>12</v>
      </c>
      <c r="B5" s="3">
        <v>10</v>
      </c>
      <c r="C5" s="12" t="s">
        <v>13</v>
      </c>
    </row>
    <row r="6" spans="1:21" x14ac:dyDescent="0.25">
      <c r="A6" s="13"/>
      <c r="B6" s="13"/>
      <c r="C6" s="13"/>
    </row>
    <row r="7" spans="1:21" x14ac:dyDescent="0.25">
      <c r="A7" s="6"/>
    </row>
    <row r="8" spans="1:21" x14ac:dyDescent="0.25">
      <c r="A8" s="15" t="s">
        <v>0</v>
      </c>
      <c r="B8" s="18">
        <v>45684</v>
      </c>
      <c r="C8" s="18">
        <v>45685</v>
      </c>
      <c r="D8" s="18">
        <v>45686</v>
      </c>
      <c r="E8" s="18">
        <v>45687</v>
      </c>
      <c r="F8" s="18">
        <v>45688</v>
      </c>
      <c r="G8" s="18">
        <v>45691</v>
      </c>
      <c r="H8" s="18">
        <v>45692</v>
      </c>
      <c r="I8" s="18">
        <v>45693</v>
      </c>
      <c r="J8" s="18">
        <v>45694</v>
      </c>
      <c r="K8" s="18">
        <v>45695</v>
      </c>
      <c r="L8" s="20"/>
    </row>
    <row r="9" spans="1:21" x14ac:dyDescent="0.25">
      <c r="A9" s="16">
        <v>1</v>
      </c>
      <c r="B9" s="32">
        <v>25</v>
      </c>
      <c r="C9" s="32">
        <v>25</v>
      </c>
      <c r="D9" s="32">
        <f>14+5</f>
        <v>19</v>
      </c>
      <c r="E9" s="32">
        <v>14</v>
      </c>
      <c r="F9" s="32">
        <v>14</v>
      </c>
      <c r="G9" s="32">
        <v>14</v>
      </c>
      <c r="H9" s="16">
        <v>6</v>
      </c>
      <c r="I9" s="16">
        <v>4</v>
      </c>
      <c r="J9" s="16"/>
      <c r="K9" s="16"/>
      <c r="U9" s="33"/>
    </row>
    <row r="10" spans="1:21" x14ac:dyDescent="0.25">
      <c r="A10" s="16">
        <v>2</v>
      </c>
      <c r="B10" s="32">
        <v>25</v>
      </c>
      <c r="C10" s="32">
        <v>25</v>
      </c>
      <c r="D10" s="32">
        <f>14+4</f>
        <v>18</v>
      </c>
      <c r="E10" s="32">
        <v>14</v>
      </c>
      <c r="F10" s="32">
        <v>14</v>
      </c>
      <c r="G10" s="32">
        <v>14</v>
      </c>
      <c r="H10" s="16">
        <v>6</v>
      </c>
      <c r="I10" s="16">
        <v>3</v>
      </c>
      <c r="J10" s="16"/>
      <c r="K10" s="16"/>
      <c r="U10" s="33"/>
    </row>
    <row r="11" spans="1:21" x14ac:dyDescent="0.25">
      <c r="B11" s="34" t="s">
        <v>51</v>
      </c>
      <c r="C11" s="34"/>
      <c r="D11" s="34"/>
      <c r="E11" s="34" t="s">
        <v>52</v>
      </c>
      <c r="F11" s="34"/>
      <c r="G11" s="34"/>
      <c r="H11" s="34" t="s">
        <v>53</v>
      </c>
      <c r="I11" s="34"/>
    </row>
  </sheetData>
  <mergeCells count="3">
    <mergeCell ref="B11:D11"/>
    <mergeCell ref="E11:G11"/>
    <mergeCell ref="H11:I11"/>
  </mergeCells>
  <dataValidations count="1">
    <dataValidation type="whole" operator="greaterThanOrEqual" allowBlank="1" showInputMessage="1" showErrorMessage="1" errorTitle="Error:" error="Input integer that is equal to or greater than 1." sqref="B3:B5" xr:uid="{1A35BAAC-FE4F-46D3-9E0E-B514FA53E36A}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4CD7-94CE-4AEF-A81D-C291950196D5}">
  <sheetPr codeName="Sheet3"/>
  <dimension ref="A1:Q38"/>
  <sheetViews>
    <sheetView zoomScale="85" zoomScaleNormal="85" workbookViewId="0">
      <selection activeCell="U17" sqref="U17"/>
    </sheetView>
  </sheetViews>
  <sheetFormatPr defaultRowHeight="15" x14ac:dyDescent="0.25"/>
  <cols>
    <col min="1" max="1" width="36.28515625" bestFit="1" customWidth="1"/>
    <col min="3" max="3" width="10" bestFit="1" customWidth="1"/>
  </cols>
  <sheetData>
    <row r="1" spans="1:17" x14ac:dyDescent="0.25">
      <c r="A1" s="7" t="s">
        <v>25</v>
      </c>
      <c r="B1" s="8"/>
      <c r="C1" s="8"/>
      <c r="D1" s="9"/>
      <c r="E1" s="9"/>
      <c r="F1" s="9"/>
      <c r="G1" s="9"/>
      <c r="H1" s="9"/>
    </row>
    <row r="2" spans="1:17" x14ac:dyDescent="0.25">
      <c r="A2" s="10" t="s">
        <v>3</v>
      </c>
      <c r="B2" s="11" t="s">
        <v>4</v>
      </c>
      <c r="C2" s="11" t="s">
        <v>5</v>
      </c>
    </row>
    <row r="3" spans="1:17" x14ac:dyDescent="0.25">
      <c r="A3" s="2" t="s">
        <v>6</v>
      </c>
      <c r="B3" s="3">
        <v>76</v>
      </c>
      <c r="C3" s="12" t="s">
        <v>7</v>
      </c>
    </row>
    <row r="4" spans="1:17" x14ac:dyDescent="0.25">
      <c r="A4" s="5" t="s">
        <v>8</v>
      </c>
      <c r="B4" s="3">
        <v>45</v>
      </c>
      <c r="C4" s="12" t="s">
        <v>9</v>
      </c>
      <c r="I4" s="4"/>
    </row>
    <row r="5" spans="1:17" x14ac:dyDescent="0.25">
      <c r="A5" s="2" t="s">
        <v>10</v>
      </c>
      <c r="B5" s="3">
        <v>2</v>
      </c>
      <c r="C5" s="12" t="s">
        <v>11</v>
      </c>
    </row>
    <row r="6" spans="1:17" x14ac:dyDescent="0.25">
      <c r="A6" s="2" t="s">
        <v>12</v>
      </c>
      <c r="B6" s="3">
        <v>6</v>
      </c>
      <c r="C6" s="12" t="s">
        <v>13</v>
      </c>
    </row>
    <row r="7" spans="1:17" x14ac:dyDescent="0.25">
      <c r="A7" s="13"/>
      <c r="B7" s="13"/>
      <c r="C7" s="13"/>
    </row>
    <row r="8" spans="1:17" x14ac:dyDescent="0.25">
      <c r="A8" s="6"/>
      <c r="D8" s="30" t="s">
        <v>25</v>
      </c>
      <c r="E8" s="30"/>
      <c r="F8" s="30"/>
      <c r="G8" s="30"/>
      <c r="H8" s="30"/>
      <c r="I8" s="30"/>
    </row>
    <row r="9" spans="1:17" x14ac:dyDescent="0.25">
      <c r="A9" s="15" t="s">
        <v>19</v>
      </c>
      <c r="B9" s="17">
        <v>0.1</v>
      </c>
      <c r="C9" s="17">
        <v>0.1</v>
      </c>
      <c r="D9" s="22">
        <v>0.1</v>
      </c>
      <c r="E9" s="22">
        <v>0.1</v>
      </c>
      <c r="F9" s="22">
        <v>0.1</v>
      </c>
      <c r="G9" s="22">
        <v>0.1</v>
      </c>
      <c r="H9" s="17">
        <v>0.1</v>
      </c>
      <c r="I9" s="17">
        <v>0.1</v>
      </c>
      <c r="J9" s="17">
        <v>0.1</v>
      </c>
      <c r="K9" s="17">
        <v>0.1</v>
      </c>
      <c r="L9" s="17">
        <v>0.1</v>
      </c>
      <c r="M9" s="17">
        <v>0.1</v>
      </c>
      <c r="N9" s="17">
        <v>0.1</v>
      </c>
      <c r="O9" s="17">
        <v>0.1</v>
      </c>
      <c r="P9" s="17">
        <v>0.1</v>
      </c>
    </row>
    <row r="10" spans="1:17" x14ac:dyDescent="0.25">
      <c r="A10" s="15" t="s">
        <v>0</v>
      </c>
      <c r="B10" s="18">
        <v>45230</v>
      </c>
      <c r="C10" s="18">
        <v>45233</v>
      </c>
      <c r="D10" s="18">
        <v>45236</v>
      </c>
      <c r="E10" s="18">
        <v>45237</v>
      </c>
      <c r="F10" s="18">
        <v>45238</v>
      </c>
      <c r="G10" s="18">
        <v>45239</v>
      </c>
      <c r="H10" s="18">
        <v>45240</v>
      </c>
      <c r="I10" s="18">
        <v>45243</v>
      </c>
      <c r="J10" s="18">
        <v>45244</v>
      </c>
      <c r="K10" s="18">
        <v>45245</v>
      </c>
      <c r="L10" s="18">
        <v>45246</v>
      </c>
      <c r="M10" s="18">
        <v>45247</v>
      </c>
      <c r="N10" s="18">
        <v>45250</v>
      </c>
      <c r="O10" s="18">
        <v>45251</v>
      </c>
      <c r="P10" s="18">
        <v>45252</v>
      </c>
      <c r="Q10" s="20"/>
    </row>
    <row r="11" spans="1:17" x14ac:dyDescent="0.25">
      <c r="A11" s="16">
        <v>1</v>
      </c>
      <c r="B11" s="16"/>
      <c r="C11" s="16"/>
      <c r="D11" s="26"/>
      <c r="E11" s="26"/>
      <c r="F11" s="26"/>
      <c r="G11" s="26"/>
      <c r="H11" s="26"/>
      <c r="I11" s="26"/>
      <c r="J11" s="16"/>
      <c r="K11" s="16"/>
      <c r="L11" s="16"/>
      <c r="M11" s="16"/>
      <c r="N11" s="16"/>
      <c r="O11" s="16"/>
      <c r="P11" s="16"/>
    </row>
    <row r="12" spans="1:17" x14ac:dyDescent="0.25">
      <c r="A12" s="16">
        <v>2</v>
      </c>
      <c r="B12" s="16"/>
      <c r="C12" s="16"/>
      <c r="D12" s="26"/>
      <c r="E12" s="26"/>
      <c r="F12" s="26"/>
      <c r="G12" s="26"/>
      <c r="H12" s="26"/>
      <c r="I12" s="26"/>
      <c r="J12" s="16"/>
      <c r="K12" s="16"/>
      <c r="L12" s="16"/>
      <c r="M12" s="16"/>
      <c r="N12" s="16"/>
      <c r="O12" s="16"/>
      <c r="P12" s="16"/>
    </row>
    <row r="14" spans="1:17" x14ac:dyDescent="0.25">
      <c r="A14" s="7" t="s">
        <v>26</v>
      </c>
      <c r="B14" s="8"/>
      <c r="C14" s="8"/>
      <c r="D14" s="9"/>
      <c r="E14" s="9"/>
      <c r="F14" s="9"/>
      <c r="G14" s="9"/>
      <c r="H14" s="9"/>
    </row>
    <row r="15" spans="1:17" x14ac:dyDescent="0.25">
      <c r="A15" s="10" t="s">
        <v>3</v>
      </c>
      <c r="B15" s="11" t="s">
        <v>4</v>
      </c>
      <c r="C15" s="11" t="s">
        <v>5</v>
      </c>
    </row>
    <row r="16" spans="1:17" x14ac:dyDescent="0.25">
      <c r="A16" s="2" t="s">
        <v>6</v>
      </c>
      <c r="B16" s="3">
        <v>26</v>
      </c>
      <c r="C16" s="12" t="s">
        <v>7</v>
      </c>
    </row>
    <row r="17" spans="1:16" x14ac:dyDescent="0.25">
      <c r="A17" s="5" t="s">
        <v>8</v>
      </c>
      <c r="B17" s="3">
        <v>45</v>
      </c>
      <c r="C17" s="12" t="s">
        <v>9</v>
      </c>
      <c r="I17" s="4"/>
    </row>
    <row r="18" spans="1:16" x14ac:dyDescent="0.25">
      <c r="A18" s="2" t="s">
        <v>10</v>
      </c>
      <c r="B18" s="3">
        <v>2</v>
      </c>
      <c r="C18" s="12" t="s">
        <v>11</v>
      </c>
    </row>
    <row r="19" spans="1:16" x14ac:dyDescent="0.25">
      <c r="A19" s="2" t="s">
        <v>12</v>
      </c>
      <c r="B19" s="3">
        <v>2</v>
      </c>
      <c r="C19" s="12" t="s">
        <v>13</v>
      </c>
    </row>
    <row r="20" spans="1:16" x14ac:dyDescent="0.25">
      <c r="A20" s="13"/>
      <c r="B20" s="13"/>
      <c r="C20" s="13"/>
    </row>
    <row r="21" spans="1:16" x14ac:dyDescent="0.25">
      <c r="A21" s="6"/>
      <c r="B21" s="1"/>
      <c r="H21" s="31"/>
      <c r="I21" s="31"/>
      <c r="J21" s="30" t="s">
        <v>26</v>
      </c>
      <c r="K21" s="30"/>
    </row>
    <row r="22" spans="1:16" x14ac:dyDescent="0.25">
      <c r="A22" s="15" t="s">
        <v>19</v>
      </c>
      <c r="B22" s="17">
        <v>0.1</v>
      </c>
      <c r="C22" s="17">
        <v>0.1</v>
      </c>
      <c r="D22" s="17">
        <v>0.1</v>
      </c>
      <c r="E22" s="17">
        <v>0.1</v>
      </c>
      <c r="F22" s="17">
        <v>0.1</v>
      </c>
      <c r="G22" s="23">
        <v>0.1</v>
      </c>
      <c r="H22" s="17">
        <v>0.1</v>
      </c>
      <c r="I22" s="17">
        <v>0.1</v>
      </c>
      <c r="J22" s="24">
        <v>0.1</v>
      </c>
      <c r="K22" s="17">
        <v>0.1</v>
      </c>
      <c r="L22" s="17">
        <v>0.1</v>
      </c>
      <c r="M22" s="17">
        <v>0.1</v>
      </c>
      <c r="N22" s="17">
        <v>0.1</v>
      </c>
      <c r="O22" s="17">
        <v>0.1</v>
      </c>
      <c r="P22" s="17">
        <v>0.1</v>
      </c>
    </row>
    <row r="23" spans="1:16" x14ac:dyDescent="0.25">
      <c r="A23" s="15" t="s">
        <v>0</v>
      </c>
      <c r="B23" s="18">
        <v>45230</v>
      </c>
      <c r="C23" s="18">
        <v>45233</v>
      </c>
      <c r="D23" s="18">
        <v>45236</v>
      </c>
      <c r="E23" s="18">
        <v>45237</v>
      </c>
      <c r="F23" s="18">
        <v>45238</v>
      </c>
      <c r="G23" s="18">
        <v>45239</v>
      </c>
      <c r="H23" s="25">
        <v>45240</v>
      </c>
      <c r="I23" s="25">
        <v>45243</v>
      </c>
      <c r="J23" s="18">
        <v>45244</v>
      </c>
      <c r="K23" s="18">
        <v>45245</v>
      </c>
      <c r="L23" s="18">
        <v>45246</v>
      </c>
      <c r="M23" s="18">
        <v>45247</v>
      </c>
      <c r="N23" s="18">
        <v>45250</v>
      </c>
      <c r="O23" s="18">
        <v>45251</v>
      </c>
      <c r="P23" s="18">
        <v>45252</v>
      </c>
    </row>
    <row r="24" spans="1:16" x14ac:dyDescent="0.25">
      <c r="A24" s="16">
        <v>1</v>
      </c>
      <c r="B24" s="16"/>
      <c r="C24" s="16"/>
      <c r="D24" s="16"/>
      <c r="E24" s="16"/>
      <c r="F24" s="16"/>
      <c r="G24" s="16"/>
      <c r="H24" s="16"/>
      <c r="I24" s="16"/>
      <c r="J24" s="26"/>
      <c r="K24" s="26"/>
      <c r="L24" s="16"/>
      <c r="M24" s="16"/>
      <c r="N24" s="16"/>
      <c r="O24" s="16"/>
      <c r="P24" s="16"/>
    </row>
    <row r="25" spans="1:16" x14ac:dyDescent="0.25">
      <c r="A25" s="16">
        <v>2</v>
      </c>
      <c r="B25" s="16"/>
      <c r="C25" s="16"/>
      <c r="D25" s="16"/>
      <c r="E25" s="16"/>
      <c r="F25" s="16"/>
      <c r="G25" s="16"/>
      <c r="H25" s="16"/>
      <c r="I25" s="16"/>
      <c r="J25" s="26"/>
      <c r="K25" s="26"/>
      <c r="L25" s="16"/>
      <c r="M25" s="16"/>
      <c r="N25" s="16"/>
      <c r="O25" s="16"/>
      <c r="P25" s="16"/>
    </row>
    <row r="27" spans="1:16" x14ac:dyDescent="0.25">
      <c r="A27" s="7" t="s">
        <v>27</v>
      </c>
      <c r="B27" s="8"/>
      <c r="C27" s="8"/>
      <c r="D27" s="9"/>
      <c r="E27" s="9"/>
      <c r="F27" s="9"/>
      <c r="G27" s="9"/>
      <c r="H27" s="9"/>
    </row>
    <row r="28" spans="1:16" x14ac:dyDescent="0.25">
      <c r="A28" s="10" t="s">
        <v>3</v>
      </c>
      <c r="B28" s="11" t="s">
        <v>4</v>
      </c>
      <c r="C28" s="11" t="s">
        <v>5</v>
      </c>
    </row>
    <row r="29" spans="1:16" x14ac:dyDescent="0.25">
      <c r="A29" s="2" t="s">
        <v>6</v>
      </c>
      <c r="B29" s="3">
        <v>61</v>
      </c>
      <c r="C29" s="12" t="s">
        <v>7</v>
      </c>
    </row>
    <row r="30" spans="1:16" x14ac:dyDescent="0.25">
      <c r="A30" s="5" t="s">
        <v>8</v>
      </c>
      <c r="B30" s="3">
        <v>45</v>
      </c>
      <c r="C30" s="12" t="s">
        <v>9</v>
      </c>
      <c r="I30" s="4"/>
    </row>
    <row r="31" spans="1:16" x14ac:dyDescent="0.25">
      <c r="A31" s="2" t="s">
        <v>10</v>
      </c>
      <c r="B31" s="3">
        <v>2</v>
      </c>
      <c r="C31" s="12" t="s">
        <v>11</v>
      </c>
    </row>
    <row r="32" spans="1:16" x14ac:dyDescent="0.25">
      <c r="A32" s="2" t="s">
        <v>12</v>
      </c>
      <c r="B32" s="3">
        <v>5</v>
      </c>
      <c r="C32" s="12" t="s">
        <v>13</v>
      </c>
    </row>
    <row r="33" spans="1:16" x14ac:dyDescent="0.25">
      <c r="A33" s="13"/>
      <c r="B33" s="13"/>
      <c r="C33" s="13"/>
    </row>
    <row r="34" spans="1:16" x14ac:dyDescent="0.25">
      <c r="A34" s="6"/>
      <c r="B34" s="1"/>
      <c r="L34" s="30" t="s">
        <v>27</v>
      </c>
      <c r="M34" s="30"/>
      <c r="N34" s="30"/>
      <c r="O34" s="30"/>
      <c r="P34" s="30"/>
    </row>
    <row r="35" spans="1:16" x14ac:dyDescent="0.25">
      <c r="A35" s="15" t="s">
        <v>19</v>
      </c>
      <c r="B35" s="17">
        <v>0.1</v>
      </c>
      <c r="C35" s="17">
        <v>0.1</v>
      </c>
      <c r="D35" s="17">
        <v>0.1</v>
      </c>
      <c r="E35" s="17">
        <v>0.1</v>
      </c>
      <c r="F35" s="17">
        <v>0.1</v>
      </c>
      <c r="G35" s="17">
        <v>0.1</v>
      </c>
      <c r="H35" s="17">
        <v>0.1</v>
      </c>
      <c r="I35" s="17">
        <v>0.1</v>
      </c>
      <c r="J35" s="17">
        <v>0.1</v>
      </c>
      <c r="K35" s="17">
        <v>0.1</v>
      </c>
      <c r="L35" s="17">
        <v>0.1</v>
      </c>
      <c r="M35" s="17">
        <v>0.1</v>
      </c>
      <c r="N35" s="17">
        <v>0.1</v>
      </c>
      <c r="O35" s="17">
        <v>0.1</v>
      </c>
      <c r="P35" s="17">
        <v>0.1</v>
      </c>
    </row>
    <row r="36" spans="1:16" x14ac:dyDescent="0.25">
      <c r="A36" s="15" t="s">
        <v>0</v>
      </c>
      <c r="B36" s="18">
        <v>45230</v>
      </c>
      <c r="C36" s="18">
        <v>45233</v>
      </c>
      <c r="D36" s="18">
        <v>45236</v>
      </c>
      <c r="E36" s="18">
        <v>45237</v>
      </c>
      <c r="F36" s="18">
        <v>45238</v>
      </c>
      <c r="G36" s="18">
        <v>45239</v>
      </c>
      <c r="H36" s="18">
        <v>45240</v>
      </c>
      <c r="I36" s="18">
        <v>45243</v>
      </c>
      <c r="J36" s="18">
        <v>45244</v>
      </c>
      <c r="K36" s="18">
        <v>45245</v>
      </c>
      <c r="L36" s="18">
        <v>45246</v>
      </c>
      <c r="M36" s="18">
        <v>45247</v>
      </c>
      <c r="N36" s="18">
        <v>45250</v>
      </c>
      <c r="O36" s="18">
        <v>45251</v>
      </c>
      <c r="P36" s="18">
        <v>45252</v>
      </c>
    </row>
    <row r="37" spans="1:16" x14ac:dyDescent="0.25">
      <c r="A37" s="16">
        <v>1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26"/>
      <c r="M37" s="26"/>
      <c r="N37" s="26"/>
      <c r="O37" s="26"/>
      <c r="P37" s="26"/>
    </row>
    <row r="38" spans="1:16" x14ac:dyDescent="0.25">
      <c r="A38" s="16">
        <v>2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26"/>
      <c r="M38" s="26"/>
      <c r="N38" s="26"/>
      <c r="O38" s="26"/>
      <c r="P38" s="26"/>
    </row>
  </sheetData>
  <mergeCells count="4">
    <mergeCell ref="D8:I8"/>
    <mergeCell ref="H21:I21"/>
    <mergeCell ref="J21:K21"/>
    <mergeCell ref="L34:P34"/>
  </mergeCells>
  <dataValidations count="1">
    <dataValidation type="whole" operator="greaterThanOrEqual" allowBlank="1" showInputMessage="1" showErrorMessage="1" errorTitle="Error:" error="Input integer that is equal to or greater than 1." sqref="B3:B6 B16:B19 B29:B32" xr:uid="{8A75DF4D-030F-4522-85DB-F648288203EF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0DEB9-B032-48E5-B2C6-633D0BA75129}">
  <sheetPr codeName="Sheet4"/>
  <dimension ref="A1:E14"/>
  <sheetViews>
    <sheetView workbookViewId="0">
      <selection activeCell="C22" sqref="C22"/>
    </sheetView>
  </sheetViews>
  <sheetFormatPr defaultRowHeight="15" x14ac:dyDescent="0.25"/>
  <cols>
    <col min="2" max="2" width="89.85546875" customWidth="1"/>
    <col min="3" max="3" width="61.85546875" customWidth="1"/>
    <col min="4" max="4" width="12" customWidth="1"/>
  </cols>
  <sheetData>
    <row r="1" spans="1:5" x14ac:dyDescent="0.25">
      <c r="A1" s="28" t="s">
        <v>28</v>
      </c>
      <c r="B1" s="28" t="s">
        <v>29</v>
      </c>
      <c r="C1" s="28" t="s">
        <v>30</v>
      </c>
    </row>
    <row r="2" spans="1:5" ht="30" x14ac:dyDescent="0.25">
      <c r="A2" s="2" t="s">
        <v>25</v>
      </c>
      <c r="B2" s="2" t="s">
        <v>33</v>
      </c>
      <c r="C2" s="27" t="s">
        <v>36</v>
      </c>
    </row>
    <row r="3" spans="1:5" ht="45" x14ac:dyDescent="0.25">
      <c r="A3" s="2" t="s">
        <v>27</v>
      </c>
      <c r="B3" s="2" t="s">
        <v>34</v>
      </c>
      <c r="C3" s="27" t="s">
        <v>39</v>
      </c>
    </row>
    <row r="4" spans="1:5" x14ac:dyDescent="0.25">
      <c r="A4" s="21" t="s">
        <v>26</v>
      </c>
      <c r="B4" s="21" t="s">
        <v>35</v>
      </c>
      <c r="C4" s="21" t="s">
        <v>37</v>
      </c>
    </row>
    <row r="5" spans="1:5" x14ac:dyDescent="0.25">
      <c r="A5" s="21" t="s">
        <v>31</v>
      </c>
      <c r="B5" s="21" t="s">
        <v>32</v>
      </c>
      <c r="C5" s="21" t="s">
        <v>38</v>
      </c>
    </row>
    <row r="10" spans="1:5" x14ac:dyDescent="0.25">
      <c r="C10" s="28" t="s">
        <v>44</v>
      </c>
      <c r="D10" s="28" t="s">
        <v>41</v>
      </c>
      <c r="E10" s="28" t="s">
        <v>42</v>
      </c>
    </row>
    <row r="11" spans="1:5" x14ac:dyDescent="0.25">
      <c r="C11" s="21" t="s">
        <v>40</v>
      </c>
      <c r="D11" s="29">
        <v>1</v>
      </c>
      <c r="E11" s="12" t="s">
        <v>43</v>
      </c>
    </row>
    <row r="12" spans="1:5" x14ac:dyDescent="0.25">
      <c r="C12" s="21" t="s">
        <v>45</v>
      </c>
      <c r="D12" s="12" t="s">
        <v>46</v>
      </c>
      <c r="E12" s="12" t="s">
        <v>43</v>
      </c>
    </row>
    <row r="14" spans="1:5" x14ac:dyDescent="0.25">
      <c r="C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 (2)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Agaton, Randolp</dc:creator>
  <cp:lastModifiedBy>Agaton, Randolp</cp:lastModifiedBy>
  <dcterms:created xsi:type="dcterms:W3CDTF">2023-07-20T01:42:42Z</dcterms:created>
  <dcterms:modified xsi:type="dcterms:W3CDTF">2025-01-24T09:26:11Z</dcterms:modified>
</cp:coreProperties>
</file>